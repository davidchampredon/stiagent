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43020" yWindow="0" windowWidth="19200" windowHeight="2356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<sst xmlns="http://schemas.openxmlformats.org/spreadsheetml/2006/main" count="478" uniqueCount="390">
  <si>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</si>
  <si>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</si>
  <si>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</si>
  <si>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</si>
  <si>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</si>
  <si>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</si>
  <si>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</si>
  <si>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</si>
  <si>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</si>
  <si>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</si>
  <si>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</si>
  <si>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</si>
  <si>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</si>
  <si>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</si>
  <si>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</si>
  <si>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</si>
  <si>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</si>
  <si>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</si>
  <si>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</si>
  <si>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</si>
  <si>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</si>
  <si>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</si>
  <si>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</si>
  <si>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</si>
  <si>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</si>
  <si>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</si>
  <si>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</si>
  <si>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</si>
  <si>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</si>
  <si>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</si>
  <si>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</si>
  <si>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</si>
  <si>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</si>
  <si>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</si>
  <si>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</si>
  <si>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</si>
  <si>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</si>
  <si>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</si>
  <si>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</si>
  <si>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</si>
  <si>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</si>
  <si>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</si>
  <si>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</si>
  <si>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</si>
  <si>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</si>
  <si>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</si>
  <si>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</si>
  <si>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</si>
  <si>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</si>
  <si>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</si>
  <si>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</si>
  <si>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</si>
  <si>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</si>
  <si>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</si>
  <si>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</si>
  <si>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</si>
  <si>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</si>
  <si>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</si>
  <si>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</si>
  <si>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</si>
  <si>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</si>
  <si>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</si>
  <si>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</si>
  <si>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</si>
  <si>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</si>
  <si>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</si>
  <si>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</si>
  <si>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</si>
  <si>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</si>
  <si>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</si>
  <si>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</si>
  <si>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</si>
  <si>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</si>
  <si>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</si>
  <si>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</si>
  <si>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</si>
  <si>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</si>
  <si>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</si>
  <si>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</si>
  <si>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</si>
  <si>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</si>
  <si>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</si>
  <si>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</si>
  <si>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</si>
  <si>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</si>
  <si>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</si>
  <si>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</si>
  <si>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</si>
  <si>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</si>
  <si>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</si>
  <si>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</si>
  <si>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</si>
  <si>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</si>
  <si>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</si>
  <si>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</si>
  <si>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</si>
  <si>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</si>
  <si>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</si>
  <si>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</si>
  <si>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</si>
  <si>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</si>
  <si>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</si>
  <si>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</si>
  <si>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</si>
  <si>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</si>
  <si>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</si>
  <si>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</si>
  <si>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</si>
  <si>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</si>
  <si>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</si>
  <si>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</si>
  <si>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</si>
  <si>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</si>
  <si>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</si>
  <si>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</si>
  <si>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</si>
  <si>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</si>
  <si>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</si>
  <si>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</si>
  <si>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</si>
  <si>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</si>
  <si>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</si>
  <si>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</si>
  <si>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</si>
  <si>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</si>
  <si>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</si>
  <si>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</si>
  <si>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</si>
  <si>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</si>
  <si>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</si>
  <si>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</si>
  <si>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</si>
  <si>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</si>
  <si>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</si>
  <si>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</si>
  <si>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</si>
  <si>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</si>
  <si>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</si>
  <si>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</si>
  <si>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</si>
  <si>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</si>
  <si>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</si>
  <si>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</si>
  <si>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</si>
  <si>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</si>
  <si>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</si>
  <si>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</si>
  <si>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</si>
  <si>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</si>
  <si>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</si>
  <si>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</si>
  <si>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</si>
  <si>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</si>
  <si>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</si>
  <si>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</si>
  <si>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</si>
  <si>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</si>
  <si>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</si>
  <si>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</si>
  <si>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</si>
  <si>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</si>
  <si>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</si>
  <si>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</si>
  <si>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</si>
  <si>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</si>
  <si>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</si>
  <si>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</si>
  <si>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</si>
  <si>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</si>
  <si>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</si>
  <si>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</si>
  <si>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</si>
  <si>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</si>
  <si>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</si>
  <si>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</si>
  <si>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</si>
  <si>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</si>
  <si>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</si>
  <si>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</si>
  <si>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</si>
  <si>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</si>
  <si>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</si>
  <si>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</si>
  <si>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</si>
  <si>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</si>
  <si>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</si>
  <si>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</si>
  <si>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</si>
  <si>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</si>
  <si>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</si>
  <si>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</si>
  <si>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</si>
  <si>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</si>
  <si>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</si>
  <si>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</si>
  <si>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</si>
  <si>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</si>
  <si>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</si>
  <si>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</si>
  <si>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</si>
  <si>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</si>
  <si>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</si>
  <si>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</si>
  <si>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</si>
  <si>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</si>
  <si>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</si>
  <si>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</si>
  <si>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</si>
  <si>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</si>
  <si>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</si>
  <si>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</si>
  <si>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</si>
  <si>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</si>
  <si>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</si>
  <si>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</si>
  <si>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</si>
  <si>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</si>
  <si>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</si>
  <si>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</si>
  <si>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</si>
  <si>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</si>
  <si>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</si>
  <si>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</si>
  <si>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</si>
  <si>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</si>
  <si>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</si>
  <si>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</si>
  <si>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</si>
  <si>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</si>
  <si>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</si>
  <si>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</si>
  <si>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</si>
  <si>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</si>
  <si>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</si>
  <si>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</si>
  <si>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</si>
  <si>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</si>
  <si>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</si>
  <si>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</si>
  <si>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</si>
  <si>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</si>
  <si>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</si>
  <si>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</si>
  <si>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</si>
  <si>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</si>
  <si>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</si>
  <si>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</si>
  <si>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</si>
  <si>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</si>
  <si>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</si>
  <si>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</si>
  <si>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</si>
  <si>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</si>
  <si>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</si>
  <si>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</si>
  <si>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</si>
  <si>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</si>
  <si>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</si>
  <si>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</si>
  <si>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</si>
  <si>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</si>
  <si>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</si>
  <si>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</si>
  <si>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</si>
  <si>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</si>
  <si>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</si>
  <si>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</si>
  <si>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</si>
  <si>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</si>
  <si>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</si>
  <si>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</si>
  <si>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</si>
  <si>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</si>
  <si>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</si>
  <si>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</si>
  <si>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</si>
  <si>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</si>
  <si>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</si>
  <si>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</si>
  <si>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</si>
  <si>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</si>
  <si>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</si>
  <si>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</si>
  <si>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</si>
  <si>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</si>
  <si>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</si>
  <si>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</si>
  <si>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</si>
  <si>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</si>
  <si>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</si>
  <si>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</si>
  <si>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</si>
  <si>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</si>
  <si>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</si>
  <si>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</si>
  <si>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</si>
  <si>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</si>
  <si>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</si>
  <si>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</si>
  <si>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</si>
  <si>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</si>
  <si>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</si>
  <si>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</si>
  <si>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</si>
  <si>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</si>
  <si>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</si>
  <si>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</si>
  <si>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</si>
  <si>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</si>
  <si>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</si>
  <si>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</si>
  <si>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</si>
  <si>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</si>
  <si>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</si>
  <si>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</si>
  <si>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</si>
  <si>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</si>
  <si>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</si>
  <si>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</si>
  <si>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</si>
  <si>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</si>
  <si>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</si>
  <si>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</si>
  <si>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</si>
  <si>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</si>
  <si>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</si>
  <si>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</si>
  <si>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</si>
  <si>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</si>
  <si>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</si>
  <si>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</si>
  <si>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</si>
  <si>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</si>
  <si>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</si>
  <si>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</si>
  <si>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</si>
  <si>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</si>
  <si>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</si>
  <si>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</si>
  <si>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</si>
  <si>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</si>
  <si>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</si>
  <si>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</si>
  <si>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</si>
  <si>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</si>
  <si>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</si>
  <si>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</si>
  <si>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</si>
  <si>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</si>
  <si>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</si>
  <si>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</si>
  <si>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</si>
  <si>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</si>
  <si>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</si>
  <si>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</si>
  <si>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</si>
  <si>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</si>
  <si>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</si>
  <si>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</si>
  <si>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</si>
  <si>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</si>
  <si>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</si>
  <si>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</si>
  <si>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</si>
  <si>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</si>
  <si>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</si>
  <si>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</si>
  <si>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</si>
  <si>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</si>
  <si>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</si>
  <si>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</si>
  <si>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</si>
  <si>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</si>
  <si>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</si>
  <si>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</si>
  <si>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</si>
  <si>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</si>
  <si>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</si>
  <si>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</si>
  <si>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</si>
  <si>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</si>
  <si>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</si>
  <si>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</si>
  <si>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</si>
  <si>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</si>
  <si>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</si>
  <si>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</si>
  <si>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</si>
  <si>
    <t>in_scenario_VaxHiRisk.csv</t>
  </si>
  <si>
    <t>interv_Tp_vaxHiRisk.csv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</si>
</sst>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89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89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1395688"/>
        <c:axId val="-2101392712"/>
      </c:barChart>
      <c:catAx>
        <c:axId val="-2101395688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01392712"/>
        <c:crosses val="autoZero"/>
        <c:auto val="1"/>
        <c:lblAlgn val="ctr"/>
        <c:lblOffset val="100"/>
        <c:noMultiLvlLbl val="0"/>
      </c:catAx>
      <c:valAx>
        <c:axId val="-210139271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13956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2147720"/>
        <c:axId val="-2102150776"/>
      </c:lineChart>
      <c:catAx>
        <c:axId val="-2102147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2150776"/>
        <c:crosses val="autoZero"/>
        <c:auto val="1"/>
        <c:lblAlgn val="ctr"/>
        <c:lblOffset val="100"/>
        <c:noMultiLvlLbl val="0"/>
      </c:catAx>
      <c:valAx>
        <c:axId val="-210215077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21477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2187144"/>
        <c:axId val="-2102190200"/>
      </c:lineChart>
      <c:catAx>
        <c:axId val="-2102187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2190200"/>
        <c:crosses val="autoZero"/>
        <c:auto val="1"/>
        <c:lblAlgn val="ctr"/>
        <c:lblOffset val="100"/>
        <c:noMultiLvlLbl val="0"/>
      </c:catAx>
      <c:valAx>
        <c:axId val="-210219020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0218714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216088"/>
        <c:axId val="-2102219048"/>
      </c:scatterChart>
      <c:valAx>
        <c:axId val="-2102216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2219048"/>
        <c:crosses val="autoZero"/>
        <c:crossBetween val="midCat"/>
      </c:valAx>
      <c:valAx>
        <c:axId val="-2102219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22160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2252984"/>
        <c:axId val="-2102256040"/>
      </c:lineChart>
      <c:catAx>
        <c:axId val="-210225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2256040"/>
        <c:crosses val="autoZero"/>
        <c:auto val="1"/>
        <c:lblAlgn val="ctr"/>
        <c:lblOffset val="100"/>
        <c:noMultiLvlLbl val="0"/>
      </c:catAx>
      <c:valAx>
        <c:axId val="-21022560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2252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804520"/>
        <c:axId val="-2102802712"/>
      </c:scatterChart>
      <c:valAx>
        <c:axId val="-210280452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02802712"/>
        <c:crosses val="autoZero"/>
        <c:crossBetween val="midCat"/>
        <c:majorUnit val="1.0"/>
      </c:valAx>
      <c:valAx>
        <c:axId val="-210280271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028045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783992"/>
        <c:axId val="-2102782184"/>
      </c:scatterChart>
      <c:valAx>
        <c:axId val="-2102783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2782184"/>
        <c:crosses val="autoZero"/>
        <c:crossBetween val="midCat"/>
      </c:valAx>
      <c:valAx>
        <c:axId val="-21027821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27839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768360"/>
        <c:axId val="-2102766552"/>
      </c:scatterChart>
      <c:valAx>
        <c:axId val="-210276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2766552"/>
        <c:crosses val="autoZero"/>
        <c:crossBetween val="midCat"/>
      </c:valAx>
      <c:valAx>
        <c:axId val="-210276655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27683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2752504"/>
        <c:axId val="-2102750712"/>
      </c:lineChart>
      <c:catAx>
        <c:axId val="-2102752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2750712"/>
        <c:crosses val="autoZero"/>
        <c:auto val="1"/>
        <c:lblAlgn val="ctr"/>
        <c:lblOffset val="100"/>
        <c:noMultiLvlLbl val="0"/>
      </c:catAx>
      <c:valAx>
        <c:axId val="-210275071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2752504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736600"/>
        <c:axId val="-2102734792"/>
      </c:scatterChart>
      <c:valAx>
        <c:axId val="-2102736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2734792"/>
        <c:crosses val="autoZero"/>
        <c:crossBetween val="midCat"/>
      </c:valAx>
      <c:valAx>
        <c:axId val="-210273479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2736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2719448"/>
        <c:axId val="-2102717656"/>
      </c:barChart>
      <c:catAx>
        <c:axId val="-2102719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02717656"/>
        <c:crosses val="autoZero"/>
        <c:auto val="1"/>
        <c:lblAlgn val="ctr"/>
        <c:lblOffset val="100"/>
        <c:noMultiLvlLbl val="0"/>
      </c:catAx>
      <c:valAx>
        <c:axId val="-210271765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0271944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278632"/>
        <c:axId val="-2102283832"/>
      </c:scatterChart>
      <c:valAx>
        <c:axId val="-2102278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02283832"/>
        <c:crosses val="autoZero"/>
        <c:crossBetween val="midCat"/>
      </c:valAx>
      <c:valAx>
        <c:axId val="-210228383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1022786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42334.857268518521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383</v>
      </c>
      <c r="G10" s="4">
        <v>1500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0.3</v>
      </c>
      <c r="N11" s="22">
        <v>0.3</v>
      </c>
      <c r="O11" s="22">
        <v>0.3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F3" sqref="F3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55">
        <v>0.85</v>
      </c>
      <c r="E24" s="25">
        <v>0.82</v>
      </c>
      <c r="F24" s="1"/>
    </row>
    <row r="25" spans="3:23">
      <c r="C25" s="3" t="s">
        <v>32</v>
      </c>
      <c r="D25" s="55">
        <v>0.85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3" workbookViewId="0">
      <selection activeCell="J27" sqref="J27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386</v>
      </c>
    </row>
    <row r="30" spans="2:13">
      <c r="B30" s="18" t="s">
        <v>361</v>
      </c>
      <c r="C30" s="19">
        <v>0.3</v>
      </c>
      <c r="H30" s="5"/>
      <c r="I30" s="5"/>
      <c r="K30" s="3" t="s">
        <v>373</v>
      </c>
      <c r="L30" s="4">
        <v>0.999</v>
      </c>
    </row>
    <row r="31" spans="2:13">
      <c r="B31" s="18"/>
      <c r="C31" s="19"/>
      <c r="K31" s="3" t="s">
        <v>374</v>
      </c>
      <c r="L31" s="4">
        <v>0.999</v>
      </c>
    </row>
    <row r="32" spans="2:13">
      <c r="B32" s="18" t="s">
        <v>174</v>
      </c>
      <c r="C32" s="19">
        <v>0.45</v>
      </c>
      <c r="K32" s="3" t="s">
        <v>375</v>
      </c>
      <c r="L32" s="4">
        <v>0.999</v>
      </c>
    </row>
    <row r="33" spans="2:12">
      <c r="B33" s="18" t="s">
        <v>175</v>
      </c>
      <c r="C33" s="19">
        <v>0.9</v>
      </c>
      <c r="K33" s="3" t="s">
        <v>376</v>
      </c>
      <c r="L33" s="4">
        <v>0.999</v>
      </c>
    </row>
    <row r="34" spans="2:12">
      <c r="B34" s="18" t="s">
        <v>176</v>
      </c>
      <c r="C34" s="19">
        <v>1</v>
      </c>
      <c r="K34" s="3" t="s">
        <v>377</v>
      </c>
      <c r="L34" s="4">
        <v>0.999</v>
      </c>
    </row>
    <row r="35" spans="2:12">
      <c r="B35" s="18" t="s">
        <v>177</v>
      </c>
      <c r="C35" s="19">
        <v>0.15</v>
      </c>
      <c r="K35" s="3" t="s">
        <v>378</v>
      </c>
      <c r="L35" s="4">
        <v>0.999</v>
      </c>
    </row>
    <row r="36" spans="2:12">
      <c r="B36" s="18" t="s">
        <v>178</v>
      </c>
      <c r="C36" s="19">
        <v>0.15</v>
      </c>
      <c r="K36" s="3" t="s">
        <v>379</v>
      </c>
      <c r="L36" s="4">
        <v>0.999</v>
      </c>
    </row>
    <row r="37" spans="2:12">
      <c r="B37" s="18" t="s">
        <v>179</v>
      </c>
      <c r="C37" s="19">
        <v>0.85</v>
      </c>
      <c r="K37" s="3" t="s">
        <v>380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366</v>
      </c>
      <c r="C59" s="19">
        <v>0.9</v>
      </c>
      <c r="D59" s="65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362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363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364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3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365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367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368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369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4" t="s">
        <v>246</v>
      </c>
      <c r="C168" s="64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4" t="s">
        <v>247</v>
      </c>
      <c r="C169" s="64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4" t="s">
        <v>248</v>
      </c>
      <c r="C170" s="64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4" t="s">
        <v>249</v>
      </c>
      <c r="C171" s="64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4" t="s">
        <v>250</v>
      </c>
      <c r="C172" s="64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4" t="s">
        <v>251</v>
      </c>
      <c r="C173" s="64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4" t="s">
        <v>252</v>
      </c>
      <c r="C174" s="64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4" t="s">
        <v>253</v>
      </c>
      <c r="C175" s="64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4" t="s">
        <v>254</v>
      </c>
      <c r="C176" s="64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4" t="s">
        <v>370</v>
      </c>
      <c r="C177" s="64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4"/>
      <c r="C178" s="64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4"/>
      <c r="C179" s="64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4"/>
      <c r="C180" s="64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4"/>
      <c r="C181" s="64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4"/>
      <c r="C182" s="64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4"/>
      <c r="C183" s="64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4"/>
      <c r="C184" s="64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4"/>
      <c r="C185" s="64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4"/>
      <c r="C186" s="64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4"/>
      <c r="C187" s="64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4"/>
      <c r="C188" s="64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4"/>
      <c r="C189" s="64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4"/>
      <c r="C190" s="64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4"/>
      <c r="C191" s="64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4"/>
      <c r="C192" s="64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4"/>
      <c r="C193" s="64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42335.581932870373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345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387</v>
      </c>
    </row>
    <row r="14" spans="1:21">
      <c r="A14" s="29">
        <f t="shared" si="1"/>
        <v>4</v>
      </c>
      <c r="B14" s="9" t="s">
        <v>350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>
        <f t="shared" si="1"/>
        <v>5</v>
      </c>
      <c r="B15" s="9" t="s">
        <v>388</v>
      </c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5:12">
      <c r="F33" s="9"/>
      <c r="G33" s="15" t="b">
        <f t="shared" si="5"/>
        <v>0</v>
      </c>
      <c r="J33" s="9" t="s">
        <v>293</v>
      </c>
      <c r="K33" s="10" t="s">
        <v>300</v>
      </c>
    </row>
    <row r="34" spans="5:12">
      <c r="G34" s="15"/>
      <c r="J34" s="9" t="s">
        <v>295</v>
      </c>
      <c r="K34" s="10">
        <v>30</v>
      </c>
      <c r="L34" s="29" t="s">
        <v>382</v>
      </c>
    </row>
    <row r="35" spans="5:12">
      <c r="F35" s="8" t="s">
        <v>388</v>
      </c>
      <c r="J35" s="9" t="s">
        <v>296</v>
      </c>
      <c r="K35" s="10">
        <v>50</v>
      </c>
      <c r="L35" s="29" t="s">
        <v>381</v>
      </c>
    </row>
    <row r="36" spans="5:12">
      <c r="F36" s="9" t="s">
        <v>302</v>
      </c>
      <c r="G36" s="15" t="b">
        <f>IF(F36="",FALSE,ISNA(VLOOKUP(F36,J:M,1,0)))</f>
        <v>0</v>
      </c>
      <c r="J36" s="9" t="s">
        <v>297</v>
      </c>
      <c r="K36" s="60">
        <v>0.05</v>
      </c>
    </row>
    <row r="37" spans="5:12">
      <c r="F37" s="9" t="s">
        <v>303</v>
      </c>
      <c r="G37" s="15" t="b">
        <f t="shared" ref="G37:G39" si="6">IF(F37="",FALSE,ISNA(VLOOKUP(F37,J:M,1,0)))</f>
        <v>0</v>
      </c>
    </row>
    <row r="38" spans="5:12">
      <c r="F38" s="9" t="s">
        <v>389</v>
      </c>
      <c r="G38" s="15" t="b">
        <f t="shared" si="6"/>
        <v>0</v>
      </c>
      <c r="J38" s="8" t="s">
        <v>348</v>
      </c>
      <c r="K38" s="8"/>
    </row>
    <row r="39" spans="5:12">
      <c r="F39" s="9"/>
      <c r="G39" s="15" t="b">
        <f t="shared" si="6"/>
        <v>0</v>
      </c>
      <c r="J39" s="9" t="s">
        <v>299</v>
      </c>
      <c r="K39" s="10" t="s">
        <v>262</v>
      </c>
    </row>
    <row r="40" spans="5:12">
      <c r="G40" s="15"/>
      <c r="J40" s="9" t="s">
        <v>293</v>
      </c>
      <c r="K40" s="10" t="s">
        <v>294</v>
      </c>
    </row>
    <row r="41" spans="5:12">
      <c r="E41" s="61"/>
      <c r="F41" s="8" t="s">
        <v>350</v>
      </c>
      <c r="J41" s="9" t="s">
        <v>295</v>
      </c>
      <c r="K41" s="10">
        <v>30</v>
      </c>
    </row>
    <row r="42" spans="5:12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5:12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60">
        <v>0.3</v>
      </c>
    </row>
    <row r="44" spans="5:12">
      <c r="F44" s="9" t="s">
        <v>349</v>
      </c>
      <c r="G44" s="15" t="b">
        <f t="shared" si="7"/>
        <v>0</v>
      </c>
    </row>
    <row r="45" spans="5:12">
      <c r="F45" s="9"/>
      <c r="G45" s="15" t="b">
        <f t="shared" si="7"/>
        <v>0</v>
      </c>
      <c r="J45" s="8" t="s">
        <v>389</v>
      </c>
      <c r="K45" s="8"/>
    </row>
    <row r="46" spans="5:12">
      <c r="G46" s="15"/>
      <c r="J46" s="9" t="s">
        <v>299</v>
      </c>
      <c r="K46" s="10" t="s">
        <v>262</v>
      </c>
    </row>
    <row r="47" spans="5:12">
      <c r="J47" s="9" t="s">
        <v>293</v>
      </c>
      <c r="K47" s="10" t="s">
        <v>387</v>
      </c>
    </row>
    <row r="48" spans="5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0">
        <v>0.2</v>
      </c>
    </row>
    <row r="52" spans="9:14">
      <c r="I52" s="62"/>
      <c r="J52" s="8" t="s">
        <v>349</v>
      </c>
      <c r="K52" s="8"/>
    </row>
    <row r="53" spans="9:14">
      <c r="J53" s="9" t="s">
        <v>299</v>
      </c>
      <c r="K53" s="10" t="s">
        <v>262</v>
      </c>
      <c r="N53" s="1" t="s">
        <v>262</v>
      </c>
    </row>
    <row r="54" spans="9:14">
      <c r="J54" s="9" t="s">
        <v>293</v>
      </c>
      <c r="K54" s="10" t="s">
        <v>307</v>
      </c>
      <c r="N54" s="1" t="s">
        <v>307</v>
      </c>
    </row>
    <row r="55" spans="9:14">
      <c r="J55" s="9" t="s">
        <v>295</v>
      </c>
      <c r="K55" s="10">
        <v>30</v>
      </c>
      <c r="N55" s="1">
        <v>30</v>
      </c>
    </row>
    <row r="56" spans="9:14">
      <c r="J56" s="9" t="s">
        <v>296</v>
      </c>
      <c r="K56" s="10">
        <v>50</v>
      </c>
      <c r="N56" s="1">
        <v>50</v>
      </c>
    </row>
    <row r="57" spans="9:14">
      <c r="J57" s="9" t="s">
        <v>297</v>
      </c>
      <c r="K57" s="60">
        <v>0.6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2015-11-27T18:58:14Z</dcterms:modified>
</cp:coreProperties>
</file>