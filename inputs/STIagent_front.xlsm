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519" codeName="{00000000-0000-0000-0000-000000000000}"/>
  <workbookPr showInkAnnotation="0" codeName="ThisWorkbook" autoCompressPictures="0"/>
  <bookViews>
    <workbookView xWindow="0" yWindow="0" windowWidth="28720" windowHeight="17560" tabRatio="500" activeTab="1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<sst xmlns="http://schemas.openxmlformats.org/spreadsheetml/2006/main" count="479" uniqueCount="391">
  <si>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</si>
  <si>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</si>
  <si>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</si>
  <si>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</si>
  <si>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</si>
  <si>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</si>
  <si>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</si>
  <si>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</si>
  <si>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</si>
  <si>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</si>
  <si>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</si>
  <si>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</si>
  <si>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</si>
  <si>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</si>
  <si>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</si>
  <si>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</si>
  <si>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</si>
  <si>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</si>
  <si>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</si>
  <si>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</si>
  <si>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</si>
  <si>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</si>
  <si>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</si>
  <si>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</si>
  <si>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</si>
  <si>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</si>
  <si>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</si>
  <si>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</si>
  <si>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</si>
  <si>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</si>
  <si>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</si>
  <si>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</si>
  <si>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</si>
  <si>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</si>
  <si>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</si>
  <si>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</si>
  <si>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</si>
  <si>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</si>
  <si>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</si>
  <si>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</si>
  <si>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</si>
  <si>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</si>
  <si>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</si>
  <si>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</si>
  <si>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</si>
  <si>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</si>
  <si>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</si>
  <si>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</si>
  <si>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</si>
  <si>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</si>
  <si>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</si>
  <si>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</si>
  <si>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</si>
  <si>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</si>
  <si>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</si>
  <si>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</si>
  <si>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</si>
  <si>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</si>
  <si>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</si>
  <si>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</si>
  <si>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</si>
  <si>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</si>
  <si>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</si>
  <si>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</si>
  <si>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</si>
  <si>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</si>
  <si>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</si>
  <si>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</si>
  <si>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</si>
  <si>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</si>
  <si>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</si>
  <si>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</si>
  <si>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</si>
  <si>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</si>
  <si>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</si>
  <si>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</si>
  <si>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</si>
  <si>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</si>
  <si>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</si>
  <si>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</si>
  <si>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</si>
  <si>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</si>
  <si>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</si>
  <si>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</si>
  <si>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</si>
  <si>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</si>
  <si>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</si>
  <si>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</si>
  <si>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</si>
  <si>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</si>
  <si>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</si>
  <si>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</si>
  <si>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</si>
  <si>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</si>
  <si>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</si>
  <si>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</si>
  <si>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</si>
  <si>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</si>
  <si>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</si>
  <si>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</si>
  <si>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</si>
  <si>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</si>
  <si>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</si>
  <si>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</si>
  <si>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</si>
  <si>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</si>
  <si>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</si>
  <si>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</si>
  <si>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</si>
  <si>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</si>
  <si>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</si>
  <si>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</si>
  <si>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</si>
  <si>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</si>
  <si>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</si>
  <si>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</si>
  <si>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</si>
  <si>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</si>
  <si>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</si>
  <si>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</si>
  <si>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</si>
  <si>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</si>
  <si>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</si>
  <si>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</si>
  <si>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</si>
  <si>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</si>
  <si>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</si>
  <si>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</si>
  <si>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</si>
  <si>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</si>
  <si>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</si>
  <si>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</si>
  <si>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</si>
  <si>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</si>
  <si>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</si>
  <si>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</si>
  <si>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</si>
  <si>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</si>
  <si>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</si>
  <si>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</si>
  <si>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</si>
  <si>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</si>
  <si>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</si>
  <si>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</si>
  <si>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</si>
  <si>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</si>
  <si>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</si>
  <si>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</si>
  <si>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</si>
  <si>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</si>
  <si>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</si>
  <si>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</si>
  <si>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</si>
  <si>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</si>
  <si>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</si>
  <si>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</si>
  <si>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</si>
  <si>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</si>
  <si>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</si>
  <si>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</si>
  <si>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</si>
  <si>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</si>
  <si>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</si>
  <si>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</si>
  <si>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</si>
  <si>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</si>
  <si>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</si>
  <si>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</si>
  <si>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</si>
  <si>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</si>
  <si>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</si>
  <si>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</si>
  <si>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</si>
  <si>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</si>
  <si>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</si>
  <si>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</si>
  <si>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</si>
  <si>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</si>
  <si>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</si>
  <si>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</si>
  <si>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</si>
  <si>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</si>
  <si>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</si>
  <si>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</si>
  <si>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</si>
  <si>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</si>
  <si>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</si>
  <si>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</si>
  <si>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</si>
  <si>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</si>
  <si>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</si>
  <si>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</si>
  <si>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</si>
  <si>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</si>
  <si>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</si>
  <si>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</si>
  <si>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</si>
  <si>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</si>
  <si>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</si>
  <si>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</si>
  <si>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</si>
  <si>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</si>
  <si>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</si>
  <si>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</si>
  <si>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</si>
  <si>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</si>
  <si>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</si>
  <si>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</si>
  <si>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</si>
  <si>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</si>
  <si>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</si>
  <si>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</si>
  <si>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</si>
  <si>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</si>
  <si>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</si>
  <si>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</si>
  <si>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</si>
  <si>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</si>
  <si>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</si>
  <si>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</si>
  <si>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</si>
  <si>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</si>
  <si>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</si>
  <si>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</si>
  <si>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</si>
  <si>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</si>
  <si>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</si>
  <si>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</si>
  <si>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</si>
  <si>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</si>
  <si>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</si>
  <si>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</si>
  <si>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</si>
  <si>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</si>
  <si>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</si>
  <si>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</si>
  <si>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</si>
  <si>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</si>
  <si>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</si>
  <si>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</si>
  <si>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</si>
  <si>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</si>
  <si>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</si>
  <si>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</si>
  <si>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</si>
  <si>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</si>
  <si>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</si>
  <si>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</si>
  <si>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</si>
  <si>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</si>
  <si>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</si>
  <si>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</si>
  <si>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</si>
  <si>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</si>
  <si>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</si>
  <si>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</si>
  <si>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</si>
  <si>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</si>
  <si>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</si>
  <si>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</si>
  <si>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</si>
  <si>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</si>
  <si>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</si>
  <si>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</si>
  <si>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</si>
  <si>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</si>
  <si>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</si>
  <si>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</si>
  <si>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</si>
  <si>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</si>
  <si>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</si>
  <si>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</si>
  <si>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</si>
  <si>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</si>
  <si>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</si>
  <si>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</si>
  <si>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</si>
  <si>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</si>
  <si>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</si>
  <si>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</si>
  <si>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</si>
  <si>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</si>
  <si>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</si>
  <si>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</si>
  <si>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</si>
  <si>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</si>
  <si>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</si>
  <si>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</si>
  <si>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</si>
  <si>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</si>
  <si>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</si>
  <si>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</si>
  <si>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</si>
  <si>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</si>
  <si>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</si>
  <si>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</si>
  <si>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</si>
  <si>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</si>
  <si>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</si>
  <si>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</si>
  <si>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</si>
  <si>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</si>
  <si>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</si>
  <si>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</si>
  <si>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</si>
  <si>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</si>
  <si>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</si>
  <si>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</si>
  <si>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</si>
  <si>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</si>
  <si>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</si>
  <si>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</si>
  <si>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</si>
  <si>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</si>
  <si>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</si>
  <si>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</si>
  <si>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</si>
  <si>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</si>
  <si>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</si>
  <si>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</si>
  <si>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</si>
  <si>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</si>
  <si>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</si>
  <si>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</si>
  <si>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</si>
  <si>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</si>
  <si>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</si>
  <si>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</si>
  <si>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</si>
  <si>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</si>
  <si>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</si>
  <si>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</si>
  <si>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</si>
  <si>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</si>
  <si>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</si>
  <si>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</si>
  <si>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</si>
  <si>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</si>
  <si>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</si>
  <si>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</si>
  <si>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</si>
  <si>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</si>
  <si>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</si>
  <si>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</si>
  <si>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</si>
  <si>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</si>
  <si>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</si>
  <si>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</si>
  <si>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</si>
  <si>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</si>
  <si>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</si>
  <si>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</si>
  <si>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</si>
  <si>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</si>
  <si>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</si>
  <si>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</si>
  <si>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</si>
  <si>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</si>
  <si>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</si>
  <si>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</si>
  <si>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</si>
  <si>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</si>
  <si>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</si>
  <si>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</si>
  <si>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</si>
  <si>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</si>
  <si>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</si>
  <si>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</si>
  <si>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</si>
  <si>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</si>
  <si>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</si>
  <si>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</si>
  <si>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</si>
  <si>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</si>
  <si>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</si>
  <si>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</si>
  <si>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</si>
  <si>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</si>
  <si>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</si>
  <si>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</si>
  <si>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</si>
  <si>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</si>
  <si>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</si>
  <si>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</si>
  <si>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</si>
  <si>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</si>
  <si>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vaccination_highRisk</t>
  </si>
  <si>
    <t>in_scenario_VaxHiRisk.csv</t>
  </si>
  <si>
    <t>interv_Tp_vaxHiRisk.csv</t>
  </si>
  <si>
    <t xml:space="preserve">&lt;&lt;-- do sensi </t>
  </si>
  <si>
    <t>&lt;&lt;-- 0.0001 ; 0.05 ; 0.70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</si>
</sst>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4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i/>
      <sz val="12"/>
      <color rgb="FFFF0000"/>
      <name val="Century Gothic"/>
      <scheme val="minor"/>
    </font>
    <font>
      <b/>
      <sz val="36"/>
      <color theme="0" tint="-0.34998626667073579"/>
      <name val="Century Gothic"/>
      <scheme val="minor"/>
    </font>
    <font>
      <sz val="12"/>
      <color theme="0" tint="-0.34998626667073579"/>
      <name val="Century Gothic"/>
      <scheme val="minor"/>
    </font>
    <font>
      <b/>
      <sz val="10"/>
      <color theme="0" tint="-0.34998626667073579"/>
      <name val="Century Gothic"/>
      <scheme val="minor"/>
    </font>
    <font>
      <b/>
      <sz val="14"/>
      <color theme="0" tint="-0.34998626667073579"/>
      <name val="Century Gothic"/>
      <scheme val="minor"/>
    </font>
    <font>
      <b/>
      <sz val="12"/>
      <color theme="0" tint="-0.34998626667073579"/>
      <name val="Century Gothic"/>
      <scheme val="minor"/>
    </font>
    <font>
      <sz val="14"/>
      <color theme="0" tint="-0.34998626667073579"/>
      <name val="Century Gothic"/>
      <scheme val="minor"/>
    </font>
    <font>
      <i/>
      <sz val="12"/>
      <color theme="0" tint="-0.34998626667073579"/>
      <name val="Century Gothic"/>
      <scheme val="minor"/>
    </font>
    <font>
      <sz val="8"/>
      <color theme="0" tint="-0.34998626667073579"/>
      <name val="Century Gothic"/>
      <scheme val="minor"/>
    </font>
    <font>
      <b/>
      <i/>
      <sz val="12"/>
      <color theme="0" tint="-0.34998626667073579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958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2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7" fillId="8" borderId="0" xfId="0" applyFont="1" applyFill="1" applyAlignment="1">
      <alignment horizontal="center"/>
    </xf>
    <xf numFmtId="0" fontId="8" fillId="2" borderId="0" xfId="0" applyFont="1" applyFill="1"/>
    <xf numFmtId="164" fontId="0" fillId="2" borderId="0" xfId="0" applyNumberFormat="1" applyFill="1"/>
    <xf numFmtId="0" fontId="6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3" fillId="4" borderId="0" xfId="0" applyNumberFormat="1" applyFont="1" applyFill="1" applyAlignment="1">
      <alignment horizontal="center"/>
    </xf>
    <xf numFmtId="22" fontId="13" fillId="9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14" fillId="2" borderId="0" xfId="0" applyFont="1" applyFill="1"/>
    <xf numFmtId="0" fontId="15" fillId="3" borderId="0" xfId="0" applyFont="1" applyFill="1" applyAlignment="1">
      <alignment vertical="center"/>
    </xf>
    <xf numFmtId="0" fontId="16" fillId="3" borderId="0" xfId="0" applyFont="1" applyFill="1" applyAlignment="1">
      <alignment vertical="center"/>
    </xf>
    <xf numFmtId="0" fontId="16" fillId="2" borderId="0" xfId="0" applyFont="1" applyFill="1"/>
    <xf numFmtId="0" fontId="16" fillId="0" borderId="0" xfId="0" applyFont="1"/>
    <xf numFmtId="22" fontId="17" fillId="4" borderId="0" xfId="0" applyNumberFormat="1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16" fillId="5" borderId="0" xfId="0" applyFont="1" applyFill="1"/>
    <xf numFmtId="0" fontId="16" fillId="2" borderId="0" xfId="0" applyFont="1" applyFill="1" applyAlignment="1">
      <alignment horizontal="left"/>
    </xf>
    <xf numFmtId="0" fontId="19" fillId="4" borderId="0" xfId="0" applyFont="1" applyFill="1" applyAlignment="1">
      <alignment horizontal="left"/>
    </xf>
    <xf numFmtId="0" fontId="19" fillId="4" borderId="0" xfId="0" applyFont="1" applyFill="1" applyAlignment="1">
      <alignment horizontal="center"/>
    </xf>
    <xf numFmtId="0" fontId="19" fillId="4" borderId="3" xfId="0" applyFont="1" applyFill="1" applyBorder="1" applyAlignment="1">
      <alignment horizontal="left"/>
    </xf>
    <xf numFmtId="0" fontId="19" fillId="4" borderId="3" xfId="0" applyFont="1" applyFill="1" applyBorder="1" applyAlignment="1">
      <alignment horizontal="center"/>
    </xf>
    <xf numFmtId="0" fontId="19" fillId="4" borderId="1" xfId="0" applyFont="1" applyFill="1" applyBorder="1" applyAlignment="1">
      <alignment horizontal="left"/>
    </xf>
    <xf numFmtId="0" fontId="19" fillId="4" borderId="1" xfId="0" applyFont="1" applyFill="1" applyBorder="1" applyAlignment="1">
      <alignment horizontal="center"/>
    </xf>
    <xf numFmtId="0" fontId="19" fillId="4" borderId="0" xfId="0" applyFont="1" applyFill="1" applyBorder="1" applyAlignment="1">
      <alignment horizontal="left"/>
    </xf>
    <xf numFmtId="0" fontId="19" fillId="4" borderId="0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left"/>
    </xf>
    <xf numFmtId="0" fontId="19" fillId="4" borderId="2" xfId="0" applyFont="1" applyFill="1" applyBorder="1" applyAlignment="1">
      <alignment horizontal="center"/>
    </xf>
    <xf numFmtId="2" fontId="19" fillId="4" borderId="2" xfId="0" applyNumberFormat="1" applyFont="1" applyFill="1" applyBorder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6" fillId="2" borderId="0" xfId="0" applyNumberFormat="1" applyFont="1" applyFill="1"/>
    <xf numFmtId="164" fontId="16" fillId="5" borderId="0" xfId="0" applyNumberFormat="1" applyFont="1" applyFill="1"/>
    <xf numFmtId="0" fontId="16" fillId="3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22" fontId="17" fillId="9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0" fontId="20" fillId="2" borderId="0" xfId="0" applyFont="1" applyFill="1"/>
    <xf numFmtId="0" fontId="18" fillId="3" borderId="0" xfId="0" applyFont="1" applyFill="1"/>
    <xf numFmtId="0" fontId="18" fillId="2" borderId="0" xfId="0" applyFont="1" applyFill="1"/>
    <xf numFmtId="0" fontId="19" fillId="4" borderId="0" xfId="0" applyFont="1" applyFill="1"/>
    <xf numFmtId="0" fontId="16" fillId="6" borderId="0" xfId="0" applyFont="1" applyFill="1"/>
    <xf numFmtId="0" fontId="16" fillId="7" borderId="0" xfId="0" applyFont="1" applyFill="1"/>
    <xf numFmtId="0" fontId="16" fillId="7" borderId="0" xfId="0" applyFont="1" applyFill="1" applyAlignment="1">
      <alignment horizontal="center"/>
    </xf>
    <xf numFmtId="2" fontId="16" fillId="7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2" fontId="16" fillId="6" borderId="0" xfId="0" applyNumberFormat="1" applyFont="1" applyFill="1" applyAlignment="1">
      <alignment horizontal="center"/>
    </xf>
    <xf numFmtId="0" fontId="19" fillId="2" borderId="0" xfId="0" applyFont="1" applyFill="1"/>
    <xf numFmtId="0" fontId="19" fillId="2" borderId="0" xfId="0" applyFont="1" applyFill="1" applyAlignment="1">
      <alignment horizontal="right"/>
    </xf>
    <xf numFmtId="166" fontId="19" fillId="4" borderId="0" xfId="1" applyNumberFormat="1" applyFont="1" applyFill="1" applyAlignment="1">
      <alignment horizontal="center"/>
    </xf>
    <xf numFmtId="0" fontId="19" fillId="4" borderId="4" xfId="0" applyFont="1" applyFill="1" applyBorder="1" applyAlignment="1">
      <alignment horizontal="left"/>
    </xf>
    <xf numFmtId="0" fontId="19" fillId="4" borderId="4" xfId="0" applyFont="1" applyFill="1" applyBorder="1" applyAlignment="1">
      <alignment horizontal="center"/>
    </xf>
    <xf numFmtId="0" fontId="21" fillId="4" borderId="0" xfId="0" applyFont="1" applyFill="1"/>
    <xf numFmtId="0" fontId="21" fillId="4" borderId="0" xfId="0" applyFont="1" applyFill="1" applyAlignment="1">
      <alignment horizontal="right"/>
    </xf>
    <xf numFmtId="10" fontId="21" fillId="4" borderId="0" xfId="1" applyNumberFormat="1" applyFont="1" applyFill="1" applyAlignment="1">
      <alignment horizontal="center"/>
    </xf>
    <xf numFmtId="0" fontId="19" fillId="4" borderId="5" xfId="0" applyFont="1" applyFill="1" applyBorder="1" applyAlignment="1">
      <alignment horizontal="left"/>
    </xf>
    <xf numFmtId="0" fontId="19" fillId="4" borderId="5" xfId="0" applyFont="1" applyFill="1" applyBorder="1" applyAlignment="1">
      <alignment horizontal="center"/>
    </xf>
    <xf numFmtId="165" fontId="16" fillId="2" borderId="0" xfId="0" applyNumberFormat="1" applyFont="1" applyFill="1" applyAlignment="1">
      <alignment horizontal="center"/>
    </xf>
    <xf numFmtId="164" fontId="22" fillId="2" borderId="0" xfId="0" applyNumberFormat="1" applyFont="1" applyFill="1"/>
    <xf numFmtId="165" fontId="19" fillId="4" borderId="2" xfId="0" applyNumberFormat="1" applyFont="1" applyFill="1" applyBorder="1" applyAlignment="1">
      <alignment horizontal="center"/>
    </xf>
    <xf numFmtId="0" fontId="23" fillId="2" borderId="0" xfId="0" applyFont="1" applyFill="1"/>
  </cellXfs>
  <cellStyles count="395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Followed Hyperlink" xfId="3933" builtinId="9" hidden="1"/>
    <cellStyle name="Followed Hyperlink" xfId="3935" builtinId="9" hidden="1"/>
    <cellStyle name="Followed Hyperlink" xfId="3937" builtinId="9" hidden="1"/>
    <cellStyle name="Followed Hyperlink" xfId="3939" builtinId="9" hidden="1"/>
    <cellStyle name="Followed Hyperlink" xfId="3941" builtinId="9" hidden="1"/>
    <cellStyle name="Followed Hyperlink" xfId="3943" builtinId="9" hidden="1"/>
    <cellStyle name="Followed Hyperlink" xfId="3945" builtinId="9" hidden="1"/>
    <cellStyle name="Followed Hyperlink" xfId="3947" builtinId="9" hidden="1"/>
    <cellStyle name="Followed Hyperlink" xfId="3949" builtinId="9" hidden="1"/>
    <cellStyle name="Followed Hyperlink" xfId="3951" builtinId="9" hidden="1"/>
    <cellStyle name="Followed Hyperlink" xfId="3953" builtinId="9" hidden="1"/>
    <cellStyle name="Followed Hyperlink" xfId="3955" builtinId="9" hidden="1"/>
    <cellStyle name="Followed Hyperlink" xfId="395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46867576"/>
        <c:axId val="-2146864600"/>
      </c:barChart>
      <c:catAx>
        <c:axId val="-2146867576"/>
        <c:scaling>
          <c:orientation val="minMax"/>
        </c:scaling>
        <c:delete val="0"/>
        <c:axPos val="b"/>
        <c:majorTickMark val="none"/>
        <c:minorTickMark val="none"/>
        <c:tickLblPos val="nextTo"/>
        <c:crossAx val="-2146864600"/>
        <c:crosses val="autoZero"/>
        <c:auto val="1"/>
        <c:lblAlgn val="ctr"/>
        <c:lblOffset val="100"/>
        <c:noMultiLvlLbl val="0"/>
      </c:catAx>
      <c:valAx>
        <c:axId val="-2146864600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4686757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182456"/>
        <c:axId val="2133743224"/>
      </c:scatterChart>
      <c:valAx>
        <c:axId val="213318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33743224"/>
        <c:crosses val="autoZero"/>
        <c:crossBetween val="midCat"/>
      </c:valAx>
      <c:valAx>
        <c:axId val="2133743224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3318245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5796856"/>
        <c:axId val="2133233880"/>
      </c:lineChart>
      <c:catAx>
        <c:axId val="2135796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33233880"/>
        <c:crosses val="autoZero"/>
        <c:auto val="1"/>
        <c:lblAlgn val="ctr"/>
        <c:lblOffset val="100"/>
        <c:noMultiLvlLbl val="0"/>
      </c:catAx>
      <c:valAx>
        <c:axId val="2133233880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3579685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3508760"/>
        <c:axId val="2133282760"/>
      </c:lineChart>
      <c:catAx>
        <c:axId val="2133508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33282760"/>
        <c:crosses val="autoZero"/>
        <c:auto val="1"/>
        <c:lblAlgn val="ctr"/>
        <c:lblOffset val="100"/>
        <c:noMultiLvlLbl val="0"/>
      </c:catAx>
      <c:valAx>
        <c:axId val="2133282760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3350876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297640"/>
        <c:axId val="2133300600"/>
      </c:scatterChart>
      <c:valAx>
        <c:axId val="2133297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3300600"/>
        <c:crosses val="autoZero"/>
        <c:crossBetween val="midCat"/>
      </c:valAx>
      <c:valAx>
        <c:axId val="2133300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329764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3800264"/>
        <c:axId val="2133782008"/>
      </c:lineChart>
      <c:catAx>
        <c:axId val="213380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3782008"/>
        <c:crosses val="autoZero"/>
        <c:auto val="1"/>
        <c:lblAlgn val="ctr"/>
        <c:lblOffset val="100"/>
        <c:noMultiLvlLbl val="0"/>
      </c:catAx>
      <c:valAx>
        <c:axId val="213378200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3800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485368"/>
        <c:axId val="2132420856"/>
      </c:scatterChart>
      <c:valAx>
        <c:axId val="2132485368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32420856"/>
        <c:crosses val="autoZero"/>
        <c:crossBetween val="midCat"/>
        <c:majorUnit val="1.0"/>
      </c:valAx>
      <c:valAx>
        <c:axId val="2132420856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3248536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340424"/>
        <c:axId val="2089343384"/>
      </c:scatterChart>
      <c:valAx>
        <c:axId val="2089340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9343384"/>
        <c:crosses val="autoZero"/>
        <c:crossBetween val="midCat"/>
      </c:valAx>
      <c:valAx>
        <c:axId val="208934338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34042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567464"/>
        <c:axId val="2141570536"/>
      </c:scatterChart>
      <c:valAx>
        <c:axId val="2141567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1570536"/>
        <c:crosses val="autoZero"/>
        <c:crossBetween val="midCat"/>
      </c:valAx>
      <c:valAx>
        <c:axId val="214157053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4156746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1597208"/>
        <c:axId val="2141600152"/>
      </c:lineChart>
      <c:catAx>
        <c:axId val="2141597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1600152"/>
        <c:crosses val="autoZero"/>
        <c:auto val="1"/>
        <c:lblAlgn val="ctr"/>
        <c:lblOffset val="100"/>
        <c:noMultiLvlLbl val="0"/>
      </c:catAx>
      <c:valAx>
        <c:axId val="214160015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597208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626824"/>
        <c:axId val="2141629912"/>
      </c:scatterChart>
      <c:valAx>
        <c:axId val="2141626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1629912"/>
        <c:crosses val="autoZero"/>
        <c:crossBetween val="midCat"/>
      </c:valAx>
      <c:valAx>
        <c:axId val="214162991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4162682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1660600"/>
        <c:axId val="2141663640"/>
      </c:barChart>
      <c:catAx>
        <c:axId val="21416606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41663640"/>
        <c:crosses val="autoZero"/>
        <c:auto val="1"/>
        <c:lblAlgn val="ctr"/>
        <c:lblOffset val="100"/>
        <c:noMultiLvlLbl val="0"/>
      </c:catAx>
      <c:valAx>
        <c:axId val="2141663640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4166060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P32"/>
  <sheetViews>
    <sheetView showGridLines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27">
        <v>42360.972129629627</v>
      </c>
    </row>
    <row r="9" spans="1:16" ht="18">
      <c r="C9" s="6" t="s">
        <v>7</v>
      </c>
      <c r="D9" s="5"/>
      <c r="E9" s="15"/>
      <c r="F9" s="6" t="s">
        <v>301</v>
      </c>
      <c r="G9" s="5"/>
      <c r="I9" s="6" t="s">
        <v>17</v>
      </c>
      <c r="J9" s="5"/>
      <c r="L9" s="18" t="s">
        <v>310</v>
      </c>
      <c r="M9" s="16" t="s">
        <v>311</v>
      </c>
      <c r="N9" s="16" t="s">
        <v>312</v>
      </c>
      <c r="O9" s="16" t="s">
        <v>313</v>
      </c>
      <c r="P9" s="16" t="s">
        <v>314</v>
      </c>
    </row>
    <row r="10" spans="1:16">
      <c r="C10" s="3" t="s">
        <v>0</v>
      </c>
      <c r="D10" s="4">
        <v>50</v>
      </c>
      <c r="E10" s="15">
        <v>50</v>
      </c>
      <c r="F10" s="3" t="s">
        <v>383</v>
      </c>
      <c r="G10" s="4">
        <v>1500</v>
      </c>
      <c r="I10" s="3" t="s">
        <v>8</v>
      </c>
      <c r="J10" s="14">
        <v>0.03</v>
      </c>
      <c r="L10" s="4" t="s">
        <v>255</v>
      </c>
      <c r="M10" s="14">
        <v>1E-3</v>
      </c>
      <c r="N10" s="14">
        <v>0.01</v>
      </c>
      <c r="O10" s="14">
        <v>0.02</v>
      </c>
      <c r="P10" s="14">
        <v>0.03</v>
      </c>
    </row>
    <row r="11" spans="1:16">
      <c r="C11" s="3" t="s">
        <v>1</v>
      </c>
      <c r="D11" s="4">
        <v>2</v>
      </c>
      <c r="E11" s="15"/>
      <c r="F11" s="3" t="s">
        <v>384</v>
      </c>
      <c r="G11" s="4">
        <v>0.5</v>
      </c>
      <c r="I11" s="3" t="s">
        <v>9</v>
      </c>
      <c r="J11" s="4">
        <v>0.05</v>
      </c>
      <c r="L11" s="4" t="s">
        <v>262</v>
      </c>
      <c r="M11" s="14">
        <v>0.3</v>
      </c>
      <c r="N11" s="14">
        <v>0.3</v>
      </c>
      <c r="O11" s="14">
        <v>0.3</v>
      </c>
      <c r="P11" s="14">
        <v>0.3</v>
      </c>
    </row>
    <row r="12" spans="1:16">
      <c r="C12" s="8" t="s">
        <v>2</v>
      </c>
      <c r="D12" s="9">
        <v>50</v>
      </c>
      <c r="E12" s="15">
        <v>60</v>
      </c>
      <c r="F12" s="3" t="s">
        <v>385</v>
      </c>
      <c r="G12" s="4">
        <v>0.01</v>
      </c>
      <c r="I12" s="3" t="s">
        <v>10</v>
      </c>
      <c r="J12" s="4">
        <v>0.01</v>
      </c>
    </row>
    <row r="13" spans="1:16">
      <c r="C13" s="12" t="s">
        <v>3</v>
      </c>
      <c r="D13" s="13">
        <v>20</v>
      </c>
      <c r="E13" s="15"/>
      <c r="F13" s="8" t="s">
        <v>58</v>
      </c>
      <c r="G13" s="9">
        <v>5</v>
      </c>
      <c r="I13" s="8" t="s">
        <v>11</v>
      </c>
      <c r="J13" s="9">
        <v>2.5</v>
      </c>
    </row>
    <row r="14" spans="1:16">
      <c r="C14" s="3" t="s">
        <v>4</v>
      </c>
      <c r="D14" s="4">
        <v>2</v>
      </c>
      <c r="E14" s="15"/>
      <c r="F14" s="10" t="s">
        <v>59</v>
      </c>
      <c r="G14" s="11">
        <v>12</v>
      </c>
      <c r="I14" s="10" t="s">
        <v>12</v>
      </c>
      <c r="J14" s="11">
        <v>0.01</v>
      </c>
    </row>
    <row r="15" spans="1:16">
      <c r="C15" s="3" t="s">
        <v>5</v>
      </c>
      <c r="D15" s="4">
        <v>4</v>
      </c>
      <c r="E15" s="15"/>
      <c r="F15" s="10" t="s">
        <v>60</v>
      </c>
      <c r="G15" s="11">
        <v>60</v>
      </c>
      <c r="I15" s="10" t="s">
        <v>13</v>
      </c>
      <c r="J15" s="11">
        <v>12.98</v>
      </c>
    </row>
    <row r="16" spans="1:16">
      <c r="C16" s="3" t="s">
        <v>6</v>
      </c>
      <c r="D16" s="4">
        <v>0</v>
      </c>
      <c r="E16" s="15"/>
      <c r="F16" s="10" t="s">
        <v>61</v>
      </c>
      <c r="G16" s="11">
        <v>15</v>
      </c>
      <c r="I16" s="12" t="s">
        <v>14</v>
      </c>
      <c r="J16" s="13">
        <v>0.05</v>
      </c>
    </row>
    <row r="17" spans="3:16">
      <c r="C17" s="5"/>
      <c r="D17" s="5"/>
      <c r="E17" s="15"/>
      <c r="F17" s="12" t="s">
        <v>62</v>
      </c>
      <c r="G17" s="13">
        <v>45</v>
      </c>
      <c r="I17" s="3" t="s">
        <v>15</v>
      </c>
      <c r="J17" s="4">
        <v>40</v>
      </c>
    </row>
    <row r="18" spans="3:16">
      <c r="E18" s="1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17" t="s">
        <v>311</v>
      </c>
      <c r="N30" s="17" t="s">
        <v>312</v>
      </c>
      <c r="O30" s="17" t="s">
        <v>313</v>
      </c>
      <c r="P30" s="17" t="s">
        <v>314</v>
      </c>
    </row>
    <row r="31" spans="3:16">
      <c r="L31" s="1" t="s">
        <v>255</v>
      </c>
      <c r="M31" s="17">
        <v>1E-3</v>
      </c>
      <c r="N31" s="17">
        <v>0.01</v>
      </c>
      <c r="O31" s="17">
        <v>0.02</v>
      </c>
      <c r="P31" s="17">
        <v>0.05</v>
      </c>
    </row>
    <row r="32" spans="3:16">
      <c r="L32" s="1" t="s">
        <v>262</v>
      </c>
      <c r="M32" s="17">
        <v>0</v>
      </c>
      <c r="N32" s="17">
        <v>0</v>
      </c>
      <c r="O32" s="17">
        <v>0.01</v>
      </c>
      <c r="P32" s="17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FFFF00"/>
  </sheetPr>
  <dimension ref="A1:AI296"/>
  <sheetViews>
    <sheetView showGridLines="0" tabSelected="1" topLeftCell="A2" workbookViewId="0">
      <selection activeCell="O7" sqref="O7:P8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28">
        <v>42377.44258101852</v>
      </c>
      <c r="N3" s="20" t="s">
        <v>316</v>
      </c>
    </row>
    <row r="4" spans="1:16">
      <c r="N4" s="20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18" t="s">
        <v>315</v>
      </c>
      <c r="O5" s="18"/>
      <c r="P5" s="5"/>
    </row>
    <row r="6" spans="1:16">
      <c r="B6" s="13" t="s">
        <v>104</v>
      </c>
      <c r="C6" s="13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19"/>
      <c r="O6" s="19" t="s">
        <v>255</v>
      </c>
      <c r="P6" s="19" t="s">
        <v>262</v>
      </c>
    </row>
    <row r="7" spans="1:16">
      <c r="B7" s="25" t="s">
        <v>105</v>
      </c>
      <c r="C7" s="25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26">
        <v>0.2</v>
      </c>
      <c r="N7" s="19" t="s">
        <v>255</v>
      </c>
      <c r="O7" s="29">
        <v>1</v>
      </c>
      <c r="P7" s="29">
        <v>2.5</v>
      </c>
    </row>
    <row r="8" spans="1:16">
      <c r="B8" s="25" t="s">
        <v>106</v>
      </c>
      <c r="C8" s="25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19" t="s">
        <v>262</v>
      </c>
      <c r="O8" s="29">
        <v>1</v>
      </c>
      <c r="P8" s="29">
        <v>1</v>
      </c>
    </row>
    <row r="9" spans="1:16">
      <c r="B9" s="25" t="s">
        <v>107</v>
      </c>
      <c r="C9" s="25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25" t="s">
        <v>108</v>
      </c>
      <c r="C10" s="25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25" t="s">
        <v>109</v>
      </c>
      <c r="C11" s="25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25" t="s">
        <v>110</v>
      </c>
      <c r="C12" s="25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25" t="s">
        <v>111</v>
      </c>
      <c r="C13" s="25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25" t="s">
        <v>112</v>
      </c>
      <c r="C14" s="25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9" t="s">
        <v>113</v>
      </c>
      <c r="C15" s="9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23"/>
      <c r="C16" s="24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360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351</v>
      </c>
      <c r="L18" s="4">
        <v>1</v>
      </c>
      <c r="M18" s="1" t="s">
        <v>389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352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353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354</v>
      </c>
      <c r="L21" s="4">
        <v>0.999</v>
      </c>
    </row>
    <row r="22" spans="2:13">
      <c r="B22" s="10" t="s">
        <v>119</v>
      </c>
      <c r="C22" s="11">
        <v>0.4</v>
      </c>
      <c r="H22" s="3" t="s">
        <v>281</v>
      </c>
      <c r="I22" s="4">
        <v>3.0000000000000001E-3</v>
      </c>
      <c r="K22" s="3" t="s">
        <v>355</v>
      </c>
      <c r="L22" s="4">
        <v>0.999</v>
      </c>
    </row>
    <row r="23" spans="2:13">
      <c r="B23" s="10" t="s">
        <v>120</v>
      </c>
      <c r="C23" s="11">
        <v>1</v>
      </c>
      <c r="H23" s="3" t="s">
        <v>282</v>
      </c>
      <c r="I23" s="4">
        <v>0.01</v>
      </c>
      <c r="K23" s="3" t="s">
        <v>356</v>
      </c>
      <c r="L23" s="4">
        <v>0.999</v>
      </c>
    </row>
    <row r="24" spans="2:13">
      <c r="B24" s="10" t="s">
        <v>121</v>
      </c>
      <c r="C24" s="11">
        <v>0.06</v>
      </c>
      <c r="H24" s="3" t="s">
        <v>283</v>
      </c>
      <c r="I24" s="4">
        <v>0.05</v>
      </c>
      <c r="K24" s="3" t="s">
        <v>357</v>
      </c>
      <c r="L24" s="4">
        <v>0.999</v>
      </c>
    </row>
    <row r="25" spans="2:13">
      <c r="B25" s="10" t="s">
        <v>122</v>
      </c>
      <c r="C25" s="11">
        <v>0.1</v>
      </c>
      <c r="H25" s="3" t="s">
        <v>284</v>
      </c>
      <c r="I25" s="4">
        <v>0.01</v>
      </c>
      <c r="K25" s="3" t="s">
        <v>358</v>
      </c>
      <c r="L25" s="4">
        <v>0.999</v>
      </c>
    </row>
    <row r="26" spans="2:13">
      <c r="B26" s="10" t="s">
        <v>123</v>
      </c>
      <c r="C26" s="11">
        <v>999.99</v>
      </c>
      <c r="H26" s="3" t="s">
        <v>285</v>
      </c>
      <c r="I26" s="4">
        <v>0.01</v>
      </c>
      <c r="K26" s="3" t="s">
        <v>359</v>
      </c>
      <c r="L26" s="4">
        <v>0.999</v>
      </c>
    </row>
    <row r="27" spans="2:13">
      <c r="B27" s="10" t="s">
        <v>124</v>
      </c>
      <c r="C27" s="11">
        <v>0</v>
      </c>
      <c r="H27" s="3" t="s">
        <v>286</v>
      </c>
      <c r="I27" s="4">
        <v>0.01</v>
      </c>
      <c r="K27" s="3"/>
      <c r="L27" s="4"/>
    </row>
    <row r="28" spans="2:13">
      <c r="B28" s="10" t="s">
        <v>125</v>
      </c>
      <c r="C28" s="11">
        <v>0</v>
      </c>
      <c r="H28" s="3" t="s">
        <v>287</v>
      </c>
      <c r="I28" s="4">
        <v>0.01</v>
      </c>
      <c r="K28" s="3" t="s">
        <v>371</v>
      </c>
      <c r="L28" s="4">
        <v>0.999</v>
      </c>
    </row>
    <row r="29" spans="2:13">
      <c r="B29" s="10" t="s">
        <v>126</v>
      </c>
      <c r="C29" s="11">
        <v>0.5</v>
      </c>
      <c r="H29" s="3" t="s">
        <v>288</v>
      </c>
      <c r="I29" s="4">
        <v>0.01</v>
      </c>
      <c r="K29" s="3" t="s">
        <v>372</v>
      </c>
      <c r="L29" s="4">
        <v>0.05</v>
      </c>
      <c r="M29" s="1" t="s">
        <v>390</v>
      </c>
    </row>
    <row r="30" spans="2:13">
      <c r="B30" s="10" t="s">
        <v>361</v>
      </c>
      <c r="C30" s="11">
        <v>0.3</v>
      </c>
      <c r="H30" s="5"/>
      <c r="I30" s="5"/>
      <c r="K30" s="3" t="s">
        <v>373</v>
      </c>
      <c r="L30" s="4">
        <v>0.999</v>
      </c>
    </row>
    <row r="31" spans="2:13">
      <c r="B31" s="10"/>
      <c r="C31" s="11"/>
      <c r="K31" s="3" t="s">
        <v>374</v>
      </c>
      <c r="L31" s="4">
        <v>0.999</v>
      </c>
    </row>
    <row r="32" spans="2:13">
      <c r="B32" s="10" t="s">
        <v>174</v>
      </c>
      <c r="C32" s="11">
        <v>0.45</v>
      </c>
      <c r="K32" s="3" t="s">
        <v>375</v>
      </c>
      <c r="L32" s="4">
        <v>0.999</v>
      </c>
    </row>
    <row r="33" spans="2:12">
      <c r="B33" s="10" t="s">
        <v>175</v>
      </c>
      <c r="C33" s="11">
        <v>0.9</v>
      </c>
      <c r="K33" s="3" t="s">
        <v>376</v>
      </c>
      <c r="L33" s="4">
        <v>0.999</v>
      </c>
    </row>
    <row r="34" spans="2:12">
      <c r="B34" s="10" t="s">
        <v>176</v>
      </c>
      <c r="C34" s="11">
        <v>1</v>
      </c>
      <c r="K34" s="3" t="s">
        <v>377</v>
      </c>
      <c r="L34" s="4">
        <v>0.999</v>
      </c>
    </row>
    <row r="35" spans="2:12">
      <c r="B35" s="10" t="s">
        <v>177</v>
      </c>
      <c r="C35" s="11">
        <v>0.15</v>
      </c>
      <c r="K35" s="3" t="s">
        <v>378</v>
      </c>
      <c r="L35" s="4">
        <v>0.999</v>
      </c>
    </row>
    <row r="36" spans="2:12">
      <c r="B36" s="10" t="s">
        <v>178</v>
      </c>
      <c r="C36" s="11">
        <v>0.15</v>
      </c>
      <c r="K36" s="3" t="s">
        <v>379</v>
      </c>
      <c r="L36" s="4">
        <v>0.999</v>
      </c>
    </row>
    <row r="37" spans="2:12">
      <c r="B37" s="10" t="s">
        <v>179</v>
      </c>
      <c r="C37" s="11">
        <v>0.85</v>
      </c>
      <c r="K37" s="3" t="s">
        <v>380</v>
      </c>
      <c r="L37" s="4">
        <v>0.999</v>
      </c>
    </row>
    <row r="38" spans="2:12">
      <c r="B38" s="10" t="s">
        <v>180</v>
      </c>
      <c r="C38" s="11">
        <v>0.2</v>
      </c>
      <c r="K38" s="3"/>
      <c r="L38" s="4"/>
    </row>
    <row r="39" spans="2:12">
      <c r="B39" s="10" t="s">
        <v>181</v>
      </c>
      <c r="C39" s="11">
        <v>4</v>
      </c>
      <c r="K39" s="3"/>
      <c r="L39" s="4"/>
    </row>
    <row r="40" spans="2:12">
      <c r="B40" s="10" t="s">
        <v>182</v>
      </c>
      <c r="C40" s="11">
        <v>16</v>
      </c>
      <c r="K40" s="3"/>
      <c r="L40" s="4"/>
    </row>
    <row r="41" spans="2:12">
      <c r="B41" s="10" t="s">
        <v>183</v>
      </c>
      <c r="C41" s="11">
        <v>52</v>
      </c>
      <c r="K41" s="5"/>
      <c r="L41" s="5"/>
    </row>
    <row r="42" spans="2:12">
      <c r="B42" s="10" t="s">
        <v>184</v>
      </c>
      <c r="C42" s="11">
        <v>6</v>
      </c>
    </row>
    <row r="43" spans="2:12">
      <c r="B43" s="10" t="s">
        <v>185</v>
      </c>
      <c r="C43" s="11">
        <v>10</v>
      </c>
    </row>
    <row r="44" spans="2:12">
      <c r="B44" s="10" t="s">
        <v>186</v>
      </c>
      <c r="C44" s="11">
        <v>10</v>
      </c>
    </row>
    <row r="45" spans="2:12">
      <c r="B45" s="10" t="s">
        <v>187</v>
      </c>
      <c r="C45" s="11">
        <v>10</v>
      </c>
    </row>
    <row r="46" spans="2:12">
      <c r="B46" s="10" t="s">
        <v>188</v>
      </c>
      <c r="C46" s="11">
        <v>0.05</v>
      </c>
    </row>
    <row r="47" spans="2:12">
      <c r="B47" s="10" t="s">
        <v>189</v>
      </c>
      <c r="C47" s="11">
        <v>0.7</v>
      </c>
    </row>
    <row r="48" spans="2:12">
      <c r="B48" s="10" t="s">
        <v>190</v>
      </c>
      <c r="C48" s="11">
        <v>0.7</v>
      </c>
    </row>
    <row r="49" spans="2:4">
      <c r="B49" s="10" t="s">
        <v>191</v>
      </c>
      <c r="C49" s="11">
        <v>0.5</v>
      </c>
    </row>
    <row r="50" spans="2:4">
      <c r="B50" s="10" t="s">
        <v>192</v>
      </c>
      <c r="C50" s="11">
        <v>1.05</v>
      </c>
    </row>
    <row r="51" spans="2:4">
      <c r="B51" s="10" t="s">
        <v>193</v>
      </c>
      <c r="C51" s="11">
        <v>2</v>
      </c>
    </row>
    <row r="52" spans="2:4">
      <c r="B52" s="10" t="s">
        <v>194</v>
      </c>
      <c r="C52" s="11">
        <v>1.5</v>
      </c>
    </row>
    <row r="53" spans="2:4">
      <c r="B53" s="10" t="s">
        <v>195</v>
      </c>
      <c r="C53" s="11">
        <v>4</v>
      </c>
    </row>
    <row r="54" spans="2:4">
      <c r="B54" s="10" t="s">
        <v>196</v>
      </c>
      <c r="C54" s="11">
        <v>1.1000000000000001</v>
      </c>
    </row>
    <row r="55" spans="2:4">
      <c r="B55" s="10" t="s">
        <v>197</v>
      </c>
      <c r="C55" s="11">
        <v>1.8</v>
      </c>
    </row>
    <row r="56" spans="2:4">
      <c r="B56" s="10" t="s">
        <v>198</v>
      </c>
      <c r="C56" s="11">
        <v>1.5</v>
      </c>
    </row>
    <row r="57" spans="2:4">
      <c r="B57" s="10" t="s">
        <v>199</v>
      </c>
      <c r="C57" s="11">
        <v>4</v>
      </c>
    </row>
    <row r="58" spans="2:4">
      <c r="B58" s="10" t="s">
        <v>200</v>
      </c>
      <c r="C58" s="11">
        <v>1</v>
      </c>
    </row>
    <row r="59" spans="2:4">
      <c r="B59" s="10" t="s">
        <v>366</v>
      </c>
      <c r="C59" s="11">
        <v>0.9</v>
      </c>
      <c r="D59" s="32"/>
    </row>
    <row r="60" spans="2:4">
      <c r="B60" s="10"/>
      <c r="C60" s="11"/>
    </row>
    <row r="61" spans="2:4">
      <c r="B61" s="10" t="s">
        <v>127</v>
      </c>
      <c r="C61" s="11">
        <v>0.1</v>
      </c>
    </row>
    <row r="62" spans="2:4">
      <c r="B62" s="10" t="s">
        <v>128</v>
      </c>
      <c r="C62" s="11">
        <v>0.9</v>
      </c>
    </row>
    <row r="63" spans="2:4">
      <c r="B63" s="10" t="s">
        <v>129</v>
      </c>
      <c r="C63" s="11">
        <v>999.99</v>
      </c>
    </row>
    <row r="64" spans="2:4">
      <c r="B64" s="10" t="s">
        <v>130</v>
      </c>
      <c r="C64" s="11">
        <v>0.2</v>
      </c>
    </row>
    <row r="65" spans="2:3">
      <c r="B65" s="10" t="s">
        <v>131</v>
      </c>
      <c r="C65" s="11">
        <v>0.2</v>
      </c>
    </row>
    <row r="66" spans="2:3">
      <c r="B66" s="10" t="s">
        <v>132</v>
      </c>
      <c r="C66" s="11">
        <v>1</v>
      </c>
    </row>
    <row r="67" spans="2:3">
      <c r="B67" s="10" t="s">
        <v>133</v>
      </c>
      <c r="C67" s="11">
        <v>1</v>
      </c>
    </row>
    <row r="68" spans="2:3">
      <c r="B68" s="10" t="s">
        <v>134</v>
      </c>
      <c r="C68" s="11">
        <v>0.2</v>
      </c>
    </row>
    <row r="69" spans="2:3">
      <c r="B69" s="10" t="s">
        <v>135</v>
      </c>
      <c r="C69" s="11">
        <v>12</v>
      </c>
    </row>
    <row r="70" spans="2:3">
      <c r="B70" s="10" t="s">
        <v>136</v>
      </c>
      <c r="C70" s="11">
        <v>0.08</v>
      </c>
    </row>
    <row r="71" spans="2:3">
      <c r="B71" s="10" t="s">
        <v>137</v>
      </c>
      <c r="C71" s="11">
        <v>0.1</v>
      </c>
    </row>
    <row r="72" spans="2:3">
      <c r="B72" s="10" t="s">
        <v>138</v>
      </c>
      <c r="C72" s="11">
        <v>0.8</v>
      </c>
    </row>
    <row r="73" spans="2:3">
      <c r="B73" s="10" t="s">
        <v>362</v>
      </c>
      <c r="C73" s="11">
        <v>0.3</v>
      </c>
    </row>
    <row r="74" spans="2:3">
      <c r="B74" s="10"/>
      <c r="C74" s="11"/>
    </row>
    <row r="75" spans="2:3">
      <c r="B75" s="10" t="s">
        <v>139</v>
      </c>
      <c r="C75" s="11">
        <v>0.1</v>
      </c>
    </row>
    <row r="76" spans="2:3">
      <c r="B76" s="10" t="s">
        <v>140</v>
      </c>
      <c r="C76" s="11">
        <v>0.9</v>
      </c>
    </row>
    <row r="77" spans="2:3">
      <c r="B77" s="10" t="s">
        <v>141</v>
      </c>
      <c r="C77" s="11">
        <v>1.5</v>
      </c>
    </row>
    <row r="78" spans="2:3">
      <c r="B78" s="10" t="s">
        <v>142</v>
      </c>
      <c r="C78" s="11">
        <v>0.05</v>
      </c>
    </row>
    <row r="79" spans="2:3">
      <c r="B79" s="10" t="s">
        <v>143</v>
      </c>
      <c r="C79" s="11">
        <v>0.05</v>
      </c>
    </row>
    <row r="80" spans="2:3">
      <c r="B80" s="10" t="s">
        <v>144</v>
      </c>
      <c r="C80" s="11">
        <v>16</v>
      </c>
    </row>
    <row r="81" spans="2:35">
      <c r="B81" s="10" t="s">
        <v>145</v>
      </c>
      <c r="C81" s="11">
        <v>32</v>
      </c>
    </row>
    <row r="82" spans="2:35">
      <c r="B82" s="10" t="s">
        <v>146</v>
      </c>
      <c r="C82" s="11">
        <v>0.2</v>
      </c>
      <c r="D82" s="22">
        <v>0.85</v>
      </c>
    </row>
    <row r="83" spans="2:35">
      <c r="B83" s="10" t="s">
        <v>147</v>
      </c>
      <c r="C83" s="11">
        <v>0.1</v>
      </c>
      <c r="D83" s="22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0" t="s">
        <v>148</v>
      </c>
      <c r="C84" s="11">
        <v>0.7</v>
      </c>
      <c r="D84" s="22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0" t="s">
        <v>363</v>
      </c>
      <c r="C85" s="11">
        <v>0.3</v>
      </c>
      <c r="D85" s="22">
        <v>0.15</v>
      </c>
      <c r="AD85" s="21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0"/>
      <c r="C86" s="11"/>
      <c r="D86" s="22">
        <v>0.15</v>
      </c>
      <c r="AD86" s="21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0" t="s">
        <v>149</v>
      </c>
      <c r="C87" s="11">
        <v>0.2</v>
      </c>
      <c r="D87" s="22">
        <v>0.85</v>
      </c>
      <c r="AD87" s="21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0" t="s">
        <v>150</v>
      </c>
      <c r="C88" s="11">
        <v>0.9</v>
      </c>
      <c r="D88" s="22">
        <v>0.2</v>
      </c>
      <c r="AD88" s="21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0" t="s">
        <v>151</v>
      </c>
      <c r="C89" s="11">
        <v>1</v>
      </c>
      <c r="D89" s="22">
        <v>4</v>
      </c>
      <c r="AD89" s="21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0" t="s">
        <v>152</v>
      </c>
      <c r="C90" s="11">
        <v>0.2</v>
      </c>
      <c r="D90" s="22">
        <v>16</v>
      </c>
      <c r="AD90" s="21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0" t="s">
        <v>153</v>
      </c>
      <c r="C91" s="11">
        <v>0.2</v>
      </c>
      <c r="D91" s="22">
        <v>52</v>
      </c>
      <c r="AD91" s="21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0" t="s">
        <v>154</v>
      </c>
      <c r="C92" s="11">
        <v>3</v>
      </c>
      <c r="D92" s="22">
        <v>5</v>
      </c>
      <c r="AD92" s="21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0" t="s">
        <v>155</v>
      </c>
      <c r="C93" s="11">
        <v>39</v>
      </c>
      <c r="D93" s="22">
        <v>10</v>
      </c>
      <c r="AD93" s="21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0" t="s">
        <v>156</v>
      </c>
      <c r="C94" s="11">
        <v>4</v>
      </c>
      <c r="D94" s="22">
        <v>10</v>
      </c>
      <c r="AD94" s="21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0" t="s">
        <v>157</v>
      </c>
      <c r="C95" s="11">
        <v>1.5</v>
      </c>
      <c r="D95" s="22">
        <v>10</v>
      </c>
      <c r="AD95" s="21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0" t="s">
        <v>158</v>
      </c>
      <c r="C96" s="11">
        <v>4</v>
      </c>
      <c r="D96" s="22">
        <v>0.05</v>
      </c>
      <c r="AD96" s="21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0" t="s">
        <v>159</v>
      </c>
      <c r="C97" s="11">
        <v>1.1000000000000001</v>
      </c>
      <c r="D97" s="22">
        <v>0.7</v>
      </c>
      <c r="AD97" s="21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0" t="s">
        <v>160</v>
      </c>
      <c r="C98" s="11">
        <v>1.8</v>
      </c>
      <c r="D98" s="22">
        <v>0.7</v>
      </c>
      <c r="AD98" s="21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0" t="s">
        <v>161</v>
      </c>
      <c r="C99" s="11">
        <v>0</v>
      </c>
      <c r="D99" s="22">
        <v>0.5</v>
      </c>
      <c r="AD99" s="21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0" t="s">
        <v>162</v>
      </c>
      <c r="C100" s="11">
        <v>1</v>
      </c>
      <c r="D100" s="22">
        <v>1.5</v>
      </c>
      <c r="AD100" s="21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0" t="s">
        <v>364</v>
      </c>
      <c r="C101" s="11">
        <v>0.3</v>
      </c>
      <c r="D101" s="22">
        <v>4</v>
      </c>
      <c r="AD101" s="21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0"/>
      <c r="C102" s="11"/>
      <c r="D102" s="22">
        <v>1.5</v>
      </c>
      <c r="AD102" s="21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0" t="s">
        <v>163</v>
      </c>
      <c r="C103" s="11">
        <v>0.49</v>
      </c>
      <c r="D103" s="22">
        <v>4</v>
      </c>
      <c r="AD103" s="21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0" t="s">
        <v>164</v>
      </c>
      <c r="C104" s="11">
        <v>0.9</v>
      </c>
      <c r="D104" s="22">
        <v>1.1000000000000001</v>
      </c>
      <c r="AD104" s="21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0" t="s">
        <v>165</v>
      </c>
      <c r="C105" s="11">
        <v>1</v>
      </c>
      <c r="D105" s="22">
        <v>1.8</v>
      </c>
      <c r="AD105" s="21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0" t="s">
        <v>166</v>
      </c>
      <c r="C106" s="11">
        <v>0.3</v>
      </c>
      <c r="D106" s="22">
        <v>1.5</v>
      </c>
      <c r="AD106" s="21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0" t="s">
        <v>167</v>
      </c>
      <c r="C107" s="11">
        <v>0.7</v>
      </c>
      <c r="D107" s="22">
        <v>4</v>
      </c>
      <c r="AD107" s="21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0" t="s">
        <v>168</v>
      </c>
      <c r="C108" s="11">
        <v>2</v>
      </c>
      <c r="D108" s="22">
        <v>1</v>
      </c>
      <c r="AD108" s="21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0" t="s">
        <v>169</v>
      </c>
      <c r="C109" s="11">
        <v>20</v>
      </c>
      <c r="AD109" s="21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0" t="s">
        <v>170</v>
      </c>
      <c r="C110" s="11">
        <v>0</v>
      </c>
      <c r="AD110" s="21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0" t="s">
        <v>171</v>
      </c>
      <c r="C111" s="30">
        <v>1.5</v>
      </c>
      <c r="AD111" s="21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0" t="s">
        <v>172</v>
      </c>
      <c r="C112" s="11">
        <v>4</v>
      </c>
      <c r="AD112" s="21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0" t="s">
        <v>173</v>
      </c>
      <c r="C113" s="11">
        <v>1</v>
      </c>
      <c r="AD113" s="21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0" t="s">
        <v>365</v>
      </c>
      <c r="C114" s="11">
        <v>0.3</v>
      </c>
      <c r="AD114" s="21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0"/>
      <c r="C115" s="11"/>
      <c r="AD115" s="21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0"/>
      <c r="C116" s="11"/>
      <c r="AD116" s="21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0" t="s">
        <v>201</v>
      </c>
      <c r="C117" s="11">
        <v>0.5</v>
      </c>
      <c r="AD117" s="21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0" t="s">
        <v>202</v>
      </c>
      <c r="C118" s="11">
        <v>0.9</v>
      </c>
      <c r="AD118" s="21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0" t="s">
        <v>203</v>
      </c>
      <c r="C119" s="11">
        <v>0.5</v>
      </c>
      <c r="AD119" s="21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0" t="s">
        <v>204</v>
      </c>
      <c r="C120" s="11">
        <v>0.5</v>
      </c>
      <c r="AD120" s="21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0" t="s">
        <v>205</v>
      </c>
      <c r="C121" s="11">
        <v>0.9</v>
      </c>
      <c r="AD121" s="21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0" t="s">
        <v>206</v>
      </c>
      <c r="C122" s="11">
        <v>1</v>
      </c>
      <c r="AD122" s="21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0" t="s">
        <v>207</v>
      </c>
      <c r="C123" s="11">
        <v>12</v>
      </c>
      <c r="AD123" s="21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0" t="s">
        <v>208</v>
      </c>
      <c r="C124" s="11">
        <v>12</v>
      </c>
      <c r="AD124" s="21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0" t="s">
        <v>209</v>
      </c>
      <c r="C125" s="11">
        <v>1.5</v>
      </c>
      <c r="AD125" s="21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0" t="s">
        <v>210</v>
      </c>
      <c r="C126" s="11">
        <v>4</v>
      </c>
      <c r="AD126" s="21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0" t="s">
        <v>211</v>
      </c>
      <c r="C127" s="11">
        <v>1.1000000000000001</v>
      </c>
      <c r="AD127" s="21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0" t="s">
        <v>212</v>
      </c>
      <c r="C128" s="11">
        <v>1.4</v>
      </c>
      <c r="AD128" s="21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0" t="s">
        <v>213</v>
      </c>
      <c r="C129" s="11">
        <v>0.1</v>
      </c>
      <c r="AD129" s="21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0" t="s">
        <v>214</v>
      </c>
      <c r="C130" s="11">
        <v>0.6</v>
      </c>
      <c r="AD130" s="21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0" t="s">
        <v>367</v>
      </c>
      <c r="C131" s="11">
        <v>0.3</v>
      </c>
      <c r="AD131" s="21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0"/>
      <c r="C132" s="11"/>
      <c r="AD132" s="21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0" t="s">
        <v>215</v>
      </c>
      <c r="C133" s="11">
        <v>0.5</v>
      </c>
      <c r="AD133" s="21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0" t="s">
        <v>216</v>
      </c>
      <c r="C134" s="11">
        <v>0.9</v>
      </c>
      <c r="AD134" s="21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0" t="s">
        <v>217</v>
      </c>
      <c r="C135" s="11">
        <v>1</v>
      </c>
      <c r="AD135" s="21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0" t="s">
        <v>218</v>
      </c>
      <c r="C136" s="11">
        <v>0.1</v>
      </c>
      <c r="AD136" s="21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0" t="s">
        <v>219</v>
      </c>
      <c r="C137" s="11">
        <v>0.1</v>
      </c>
      <c r="AD137" s="21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0" t="s">
        <v>220</v>
      </c>
      <c r="C138" s="11">
        <v>3</v>
      </c>
      <c r="AD138" s="21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0" t="s">
        <v>221</v>
      </c>
      <c r="C139" s="11">
        <v>16</v>
      </c>
      <c r="AD139" s="21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0" t="s">
        <v>222</v>
      </c>
      <c r="C140" s="11">
        <v>0.1</v>
      </c>
      <c r="AD140" s="21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0" t="s">
        <v>223</v>
      </c>
      <c r="C141" s="11">
        <v>1</v>
      </c>
      <c r="AD141" s="21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0" t="s">
        <v>368</v>
      </c>
      <c r="C142" s="11">
        <v>0.3</v>
      </c>
      <c r="AD142" s="21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0"/>
      <c r="C143" s="11"/>
      <c r="AD143" s="21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0" t="s">
        <v>224</v>
      </c>
      <c r="C144" s="11">
        <v>3</v>
      </c>
      <c r="AD144" s="21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0" t="s">
        <v>225</v>
      </c>
      <c r="C145" s="11">
        <v>-99</v>
      </c>
      <c r="AD145" s="21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0" t="s">
        <v>226</v>
      </c>
      <c r="C146" s="11">
        <v>24</v>
      </c>
      <c r="AD146" s="21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0" t="s">
        <v>227</v>
      </c>
      <c r="C147" s="11">
        <v>6</v>
      </c>
      <c r="AD147" s="21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0" t="s">
        <v>228</v>
      </c>
      <c r="C148" s="11">
        <v>9</v>
      </c>
      <c r="AD148" s="21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0" t="s">
        <v>229</v>
      </c>
      <c r="C149" s="11">
        <v>0.7</v>
      </c>
      <c r="AD149" s="21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0" t="s">
        <v>230</v>
      </c>
      <c r="C150" s="11">
        <v>0.5</v>
      </c>
      <c r="AD150" s="21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0" t="s">
        <v>231</v>
      </c>
      <c r="C151" s="11">
        <v>0.5</v>
      </c>
      <c r="AD151" s="21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0" t="s">
        <v>232</v>
      </c>
      <c r="C152" s="11">
        <v>0.9</v>
      </c>
      <c r="AD152" s="21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0" t="s">
        <v>233</v>
      </c>
      <c r="C153" s="11">
        <v>2</v>
      </c>
      <c r="AD153" s="21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0" t="s">
        <v>234</v>
      </c>
      <c r="C154" s="11">
        <v>0.1</v>
      </c>
      <c r="AD154" s="21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0" t="s">
        <v>235</v>
      </c>
      <c r="C155" s="11">
        <v>0.1</v>
      </c>
      <c r="AD155" s="21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0" t="s">
        <v>236</v>
      </c>
      <c r="C156" s="11">
        <v>0.1</v>
      </c>
      <c r="AD156" s="21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0" t="s">
        <v>237</v>
      </c>
      <c r="C157" s="11">
        <v>0.75</v>
      </c>
      <c r="AD157" s="21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0" t="s">
        <v>238</v>
      </c>
      <c r="C158" s="11">
        <v>1.7</v>
      </c>
      <c r="AD158" s="21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0" t="s">
        <v>239</v>
      </c>
      <c r="C159" s="11">
        <v>4</v>
      </c>
      <c r="AD159" s="21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0" t="s">
        <v>240</v>
      </c>
      <c r="C160" s="11">
        <v>2</v>
      </c>
      <c r="AD160" s="21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0" t="s">
        <v>241</v>
      </c>
      <c r="C161" s="11">
        <v>4</v>
      </c>
      <c r="AD161" s="21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0" t="s">
        <v>242</v>
      </c>
      <c r="C162" s="11">
        <v>2</v>
      </c>
      <c r="AD162" s="21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0" t="s">
        <v>243</v>
      </c>
      <c r="C163" s="11">
        <v>5</v>
      </c>
      <c r="AD163" s="21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0" t="s">
        <v>244</v>
      </c>
      <c r="C164" s="11">
        <v>2</v>
      </c>
      <c r="AD164" s="21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0" t="s">
        <v>245</v>
      </c>
      <c r="C165" s="11">
        <v>4</v>
      </c>
      <c r="AD165" s="21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0" t="s">
        <v>369</v>
      </c>
      <c r="C166" s="11">
        <v>0.3</v>
      </c>
      <c r="AD166" s="21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0"/>
      <c r="C167" s="11"/>
      <c r="AD167" s="21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31" t="s">
        <v>246</v>
      </c>
      <c r="C168" s="31">
        <v>3</v>
      </c>
      <c r="AD168" s="21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31" t="s">
        <v>247</v>
      </c>
      <c r="C169" s="31">
        <v>16</v>
      </c>
      <c r="AD169" s="21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31" t="s">
        <v>248</v>
      </c>
      <c r="C170" s="31">
        <v>0.5</v>
      </c>
      <c r="AD170" s="21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31" t="s">
        <v>249</v>
      </c>
      <c r="C171" s="31">
        <v>0.9</v>
      </c>
      <c r="AD171" s="21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31" t="s">
        <v>250</v>
      </c>
      <c r="C172" s="31">
        <v>1</v>
      </c>
      <c r="AD172" s="21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31" t="s">
        <v>251</v>
      </c>
      <c r="C173" s="31">
        <v>0.1</v>
      </c>
      <c r="AD173" s="21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31" t="s">
        <v>252</v>
      </c>
      <c r="C174" s="31">
        <v>0.1</v>
      </c>
      <c r="AD174" s="21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31" t="s">
        <v>253</v>
      </c>
      <c r="C175" s="31">
        <v>0.1</v>
      </c>
      <c r="AD175" s="21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31" t="s">
        <v>254</v>
      </c>
      <c r="C176" s="31">
        <v>1</v>
      </c>
      <c r="AD176" s="21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31" t="s">
        <v>370</v>
      </c>
      <c r="C177" s="31">
        <v>0.3</v>
      </c>
      <c r="AD177" s="21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31"/>
      <c r="C178" s="31"/>
      <c r="AD178" s="21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31"/>
      <c r="C179" s="31"/>
      <c r="AD179" s="21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31"/>
      <c r="C180" s="31"/>
      <c r="AD180" s="21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31"/>
      <c r="C181" s="31"/>
      <c r="AD181" s="21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31"/>
      <c r="C182" s="31"/>
      <c r="AD182" s="21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31"/>
      <c r="C183" s="31"/>
      <c r="AD183" s="21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31"/>
      <c r="C184" s="31"/>
      <c r="AD184" s="21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31"/>
      <c r="C185" s="31"/>
      <c r="AD185" s="21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31"/>
      <c r="C186" s="31"/>
      <c r="AD186" s="21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31"/>
      <c r="C187" s="31"/>
      <c r="AD187" s="21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31"/>
      <c r="C188" s="31"/>
      <c r="AD188" s="21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31"/>
      <c r="C189" s="31"/>
      <c r="AD189" s="21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31"/>
      <c r="C190" s="31"/>
      <c r="AD190" s="21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31"/>
      <c r="C191" s="31"/>
      <c r="AD191" s="21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31"/>
      <c r="C192" s="31"/>
      <c r="AD192" s="21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31"/>
      <c r="C193" s="31"/>
      <c r="AD193" s="21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21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21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21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21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21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21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21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21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21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21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21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21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21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21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21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21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21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21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21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21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21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21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21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21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21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21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21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21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21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21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21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21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21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21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21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21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21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21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21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21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21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21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21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21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21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21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21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21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21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21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21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21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21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21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21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21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21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21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21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21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21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21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21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21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21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21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21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21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21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21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21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21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21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21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21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21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21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21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21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21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21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21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21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21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21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21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21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21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21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21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21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21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21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21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21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21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21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21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21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21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21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21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21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workbookViewId="0">
      <selection activeCell="F28" sqref="F28"/>
    </sheetView>
  </sheetViews>
  <sheetFormatPr baseColWidth="10" defaultRowHeight="16" x14ac:dyDescent="0"/>
  <cols>
    <col min="1" max="2" width="3.7109375" style="35" customWidth="1"/>
    <col min="3" max="3" width="29.85546875" style="36" bestFit="1" customWidth="1"/>
    <col min="4" max="5" width="10.7109375" style="36"/>
    <col min="6" max="6" width="27.140625" style="36" customWidth="1"/>
    <col min="7" max="7" width="10.7109375" style="35"/>
    <col min="8" max="8" width="3.28515625" style="35" customWidth="1"/>
    <col min="9" max="9" width="2.42578125" style="35" customWidth="1"/>
    <col min="10" max="10" width="23.42578125" style="35" bestFit="1" customWidth="1"/>
    <col min="11" max="11" width="8.5703125" style="35" customWidth="1"/>
    <col min="12" max="14" width="10.7109375" style="35"/>
    <col min="15" max="15" width="9.42578125" style="35" customWidth="1"/>
    <col min="16" max="30" width="10.7109375" style="35"/>
    <col min="31" max="16384" width="10.7109375" style="36"/>
  </cols>
  <sheetData>
    <row r="1" spans="1:12" s="34" customFormat="1" ht="86" customHeight="1">
      <c r="A1" s="33" t="s">
        <v>34</v>
      </c>
    </row>
    <row r="2" spans="1:12">
      <c r="C2" s="35"/>
      <c r="D2" s="35"/>
      <c r="E2" s="35"/>
      <c r="F2" s="35"/>
    </row>
    <row r="3" spans="1:12">
      <c r="C3" s="35"/>
      <c r="D3" s="35"/>
      <c r="E3" s="35"/>
      <c r="F3" s="35"/>
    </row>
    <row r="4" spans="1:12">
      <c r="C4" s="35"/>
      <c r="D4" s="35"/>
      <c r="E4" s="35"/>
      <c r="F4" s="35"/>
    </row>
    <row r="5" spans="1:12">
      <c r="C5" s="35"/>
      <c r="D5" s="35"/>
      <c r="E5" s="35"/>
      <c r="F5" s="37">
        <v>42195.462708333333</v>
      </c>
    </row>
    <row r="6" spans="1:12">
      <c r="C6" s="35"/>
      <c r="D6" s="35"/>
      <c r="E6" s="35"/>
      <c r="F6" s="35"/>
    </row>
    <row r="7" spans="1:12">
      <c r="C7" s="35"/>
      <c r="D7" s="35"/>
      <c r="E7" s="35"/>
      <c r="F7" s="35"/>
    </row>
    <row r="8" spans="1:12">
      <c r="C8" s="35"/>
      <c r="D8" s="35"/>
      <c r="E8" s="35"/>
      <c r="F8" s="35"/>
    </row>
    <row r="9" spans="1:12">
      <c r="C9" s="35"/>
      <c r="D9" s="35"/>
      <c r="E9" s="35"/>
      <c r="F9" s="35"/>
    </row>
    <row r="10" spans="1:12" ht="18">
      <c r="C10" s="38" t="s">
        <v>33</v>
      </c>
      <c r="D10" s="39"/>
      <c r="E10" s="40"/>
      <c r="F10" s="38" t="s">
        <v>44</v>
      </c>
      <c r="G10" s="39"/>
      <c r="J10" s="38" t="s">
        <v>57</v>
      </c>
      <c r="K10" s="39"/>
      <c r="L10" s="40"/>
    </row>
    <row r="11" spans="1:12">
      <c r="C11" s="41" t="s">
        <v>18</v>
      </c>
      <c r="D11" s="42">
        <v>3.1</v>
      </c>
      <c r="E11" s="40">
        <v>3.1</v>
      </c>
      <c r="F11" s="41" t="s">
        <v>35</v>
      </c>
      <c r="G11" s="42">
        <v>0.05</v>
      </c>
      <c r="H11" s="35">
        <v>0.05</v>
      </c>
      <c r="J11" s="41" t="s">
        <v>45</v>
      </c>
      <c r="K11" s="42">
        <v>0.4</v>
      </c>
      <c r="L11" s="40">
        <v>0.4</v>
      </c>
    </row>
    <row r="12" spans="1:12">
      <c r="C12" s="41" t="s">
        <v>19</v>
      </c>
      <c r="D12" s="42">
        <v>19</v>
      </c>
      <c r="E12" s="40">
        <v>19</v>
      </c>
      <c r="F12" s="41" t="s">
        <v>36</v>
      </c>
      <c r="G12" s="42">
        <v>16.600000000000001</v>
      </c>
      <c r="H12" s="35">
        <v>16.600000000000001</v>
      </c>
      <c r="J12" s="41" t="s">
        <v>46</v>
      </c>
      <c r="K12" s="42">
        <v>0.06</v>
      </c>
      <c r="L12" s="40">
        <v>0.06</v>
      </c>
    </row>
    <row r="13" spans="1:12">
      <c r="C13" s="41" t="s">
        <v>20</v>
      </c>
      <c r="D13" s="42">
        <v>43</v>
      </c>
      <c r="E13" s="40">
        <v>43</v>
      </c>
      <c r="F13" s="41" t="s">
        <v>37</v>
      </c>
      <c r="G13" s="42">
        <v>9.25</v>
      </c>
      <c r="H13" s="35">
        <v>9.25</v>
      </c>
      <c r="J13" s="43" t="s">
        <v>47</v>
      </c>
      <c r="K13" s="44">
        <v>0.7</v>
      </c>
      <c r="L13" s="40">
        <v>0.7</v>
      </c>
    </row>
    <row r="14" spans="1:12">
      <c r="C14" s="41" t="s">
        <v>21</v>
      </c>
      <c r="D14" s="42">
        <v>0.27</v>
      </c>
      <c r="E14" s="40">
        <v>0.27</v>
      </c>
      <c r="F14" s="41" t="s">
        <v>38</v>
      </c>
      <c r="G14" s="42">
        <v>4.75</v>
      </c>
      <c r="H14" s="35">
        <v>4.75</v>
      </c>
      <c r="J14" s="45" t="s">
        <v>48</v>
      </c>
      <c r="K14" s="46">
        <v>0.32400000000000001</v>
      </c>
      <c r="L14" s="40">
        <v>0.32400000000000001</v>
      </c>
    </row>
    <row r="15" spans="1:12">
      <c r="C15" s="41" t="s">
        <v>22</v>
      </c>
      <c r="D15" s="42">
        <v>0.1</v>
      </c>
      <c r="E15" s="40">
        <v>0.1</v>
      </c>
      <c r="F15" s="41" t="s">
        <v>39</v>
      </c>
      <c r="G15" s="42">
        <v>14.2</v>
      </c>
      <c r="H15" s="35">
        <v>14.2</v>
      </c>
      <c r="J15" s="47" t="s">
        <v>49</v>
      </c>
      <c r="K15" s="48">
        <v>0.68979999999999997</v>
      </c>
      <c r="L15" s="40">
        <v>0.68979999999999997</v>
      </c>
    </row>
    <row r="16" spans="1:12">
      <c r="C16" s="41" t="s">
        <v>23</v>
      </c>
      <c r="D16" s="42">
        <v>10</v>
      </c>
      <c r="E16" s="40">
        <v>10</v>
      </c>
      <c r="F16" s="41" t="s">
        <v>40</v>
      </c>
      <c r="G16" s="42">
        <v>5.33</v>
      </c>
      <c r="H16" s="35">
        <v>5.33</v>
      </c>
      <c r="J16" s="49" t="s">
        <v>50</v>
      </c>
      <c r="K16" s="50">
        <v>0.15</v>
      </c>
      <c r="L16" s="40">
        <v>0.15</v>
      </c>
    </row>
    <row r="17" spans="3:23">
      <c r="C17" s="41" t="s">
        <v>24</v>
      </c>
      <c r="D17" s="42">
        <v>-7</v>
      </c>
      <c r="E17" s="40">
        <v>-7</v>
      </c>
      <c r="F17" s="41" t="s">
        <v>41</v>
      </c>
      <c r="G17" s="42">
        <v>3.33</v>
      </c>
      <c r="H17" s="35">
        <v>3.33</v>
      </c>
      <c r="J17" s="45" t="s">
        <v>51</v>
      </c>
      <c r="K17" s="46">
        <v>75.900000000000006</v>
      </c>
      <c r="L17" s="40">
        <v>75.900000000000006</v>
      </c>
    </row>
    <row r="18" spans="3:23">
      <c r="C18" s="41" t="s">
        <v>25</v>
      </c>
      <c r="D18" s="42">
        <v>5</v>
      </c>
      <c r="E18" s="40">
        <v>5</v>
      </c>
      <c r="F18" s="41" t="s">
        <v>42</v>
      </c>
      <c r="G18" s="42">
        <v>12.39</v>
      </c>
      <c r="H18" s="35">
        <v>12.39</v>
      </c>
      <c r="J18" s="47" t="s">
        <v>52</v>
      </c>
      <c r="K18" s="48">
        <v>0.1</v>
      </c>
      <c r="L18" s="40">
        <v>0.1</v>
      </c>
    </row>
    <row r="19" spans="3:23">
      <c r="C19" s="41" t="s">
        <v>26</v>
      </c>
      <c r="D19" s="42">
        <v>2</v>
      </c>
      <c r="E19" s="40">
        <v>2</v>
      </c>
      <c r="F19" s="41" t="s">
        <v>43</v>
      </c>
      <c r="G19" s="42">
        <v>5.6</v>
      </c>
      <c r="H19" s="35">
        <v>5.6</v>
      </c>
      <c r="J19" s="49" t="s">
        <v>53</v>
      </c>
      <c r="K19" s="50">
        <v>0.7</v>
      </c>
      <c r="L19" s="40">
        <v>0.7</v>
      </c>
    </row>
    <row r="20" spans="3:23">
      <c r="C20" s="41" t="s">
        <v>27</v>
      </c>
      <c r="D20" s="42">
        <v>0.26800000000000002</v>
      </c>
      <c r="E20" s="40">
        <v>0.26800000000000002</v>
      </c>
      <c r="F20" s="39"/>
      <c r="G20" s="39"/>
      <c r="J20" s="41" t="s">
        <v>54</v>
      </c>
      <c r="K20" s="42">
        <v>0.3</v>
      </c>
      <c r="L20" s="40">
        <v>0.3</v>
      </c>
    </row>
    <row r="21" spans="3:23">
      <c r="C21" s="45" t="s">
        <v>28</v>
      </c>
      <c r="D21" s="46">
        <v>0.3</v>
      </c>
      <c r="E21" s="40">
        <v>0.3</v>
      </c>
      <c r="F21" s="35"/>
      <c r="J21" s="41" t="s">
        <v>55</v>
      </c>
      <c r="K21" s="42">
        <v>2.1</v>
      </c>
      <c r="L21" s="40">
        <v>2.1</v>
      </c>
    </row>
    <row r="22" spans="3:23">
      <c r="C22" s="49" t="s">
        <v>29</v>
      </c>
      <c r="D22" s="51">
        <v>1</v>
      </c>
      <c r="E22" s="40">
        <v>1</v>
      </c>
      <c r="F22" s="35"/>
      <c r="J22" s="41" t="s">
        <v>56</v>
      </c>
      <c r="K22" s="42">
        <v>0.54</v>
      </c>
      <c r="L22" s="40">
        <v>0.54</v>
      </c>
    </row>
    <row r="23" spans="3:23">
      <c r="C23" s="41" t="s">
        <v>30</v>
      </c>
      <c r="D23" s="42">
        <v>0.40500000000000003</v>
      </c>
      <c r="E23" s="40">
        <v>0.40500000000000003</v>
      </c>
      <c r="F23" s="35"/>
      <c r="J23" s="39"/>
      <c r="K23" s="39"/>
      <c r="L23" s="40"/>
    </row>
    <row r="24" spans="3:23">
      <c r="C24" s="41" t="s">
        <v>31</v>
      </c>
      <c r="D24" s="52">
        <v>0.85</v>
      </c>
      <c r="E24" s="40">
        <v>0.82</v>
      </c>
      <c r="F24" s="35"/>
    </row>
    <row r="25" spans="3:23">
      <c r="C25" s="41" t="s">
        <v>32</v>
      </c>
      <c r="D25" s="52">
        <v>0.85</v>
      </c>
      <c r="E25" s="40">
        <v>0.82</v>
      </c>
      <c r="F25" s="35"/>
    </row>
    <row r="26" spans="3:23">
      <c r="C26" s="39"/>
      <c r="D26" s="39"/>
      <c r="E26" s="35"/>
      <c r="F26" s="35"/>
    </row>
    <row r="27" spans="3:23">
      <c r="C27" s="35"/>
      <c r="D27" s="35"/>
      <c r="E27" s="35"/>
      <c r="F27" s="35"/>
    </row>
    <row r="28" spans="3:23">
      <c r="C28" s="35"/>
      <c r="D28" s="35"/>
      <c r="E28" s="35"/>
      <c r="F28" s="35"/>
    </row>
    <row r="29" spans="3:23">
      <c r="C29" s="35"/>
      <c r="D29" s="35"/>
      <c r="E29" s="35"/>
      <c r="F29" s="35"/>
      <c r="U29" s="35">
        <v>0.3</v>
      </c>
    </row>
    <row r="30" spans="3:23">
      <c r="C30" s="35"/>
      <c r="D30" s="35"/>
      <c r="E30" s="35"/>
      <c r="F30" s="35"/>
      <c r="N30" s="39" t="s">
        <v>324</v>
      </c>
      <c r="O30" s="39">
        <v>2</v>
      </c>
      <c r="P30" s="39"/>
      <c r="Q30" s="39"/>
    </row>
    <row r="31" spans="3:23">
      <c r="C31" s="35"/>
      <c r="D31" s="35"/>
      <c r="E31" s="35"/>
      <c r="F31" s="35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35"/>
      <c r="D32" s="35"/>
      <c r="E32" s="35"/>
      <c r="F32" s="35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53">
        <f>EXP(-$U$29*ABS(U$31-$T32))</f>
        <v>1</v>
      </c>
      <c r="V32" s="53">
        <f t="shared" ref="V32:W34" si="1">EXP(-$U$29*ABS(V$31-$T32))</f>
        <v>0.74081822068171788</v>
      </c>
      <c r="W32" s="53">
        <f t="shared" si="1"/>
        <v>0.54881163609402639</v>
      </c>
    </row>
    <row r="33" spans="3:23">
      <c r="C33" s="35"/>
      <c r="D33" s="35"/>
      <c r="E33" s="35"/>
      <c r="F33" s="35"/>
      <c r="N33" s="39">
        <v>0</v>
      </c>
      <c r="O33" s="54">
        <f>EXP(-$D$21*(2*$O$30-O$31-$N33)-$D$22*ABS(O$31-$N33))</f>
        <v>0.30119421191220214</v>
      </c>
      <c r="P33" s="54">
        <f t="shared" ref="P33:Q35" si="2">EXP(-$D$21*(2*$O$30-P$31-$N33)-$D$22*ABS(P$31-$N33))</f>
        <v>0.14956861922263506</v>
      </c>
      <c r="Q33" s="54">
        <f t="shared" si="2"/>
        <v>7.4273578214333877E-2</v>
      </c>
      <c r="T33" s="39">
        <f>T32+1</f>
        <v>1</v>
      </c>
      <c r="U33" s="53">
        <f t="shared" ref="U33:U34" si="3">EXP(-$U$29*ABS(U$31-$T33))</f>
        <v>0.74081822068171788</v>
      </c>
      <c r="V33" s="53">
        <f t="shared" si="1"/>
        <v>1</v>
      </c>
      <c r="W33" s="53">
        <f t="shared" si="1"/>
        <v>0.74081822068171788</v>
      </c>
    </row>
    <row r="34" spans="3:23">
      <c r="C34" s="35"/>
      <c r="D34" s="35"/>
      <c r="E34" s="35"/>
      <c r="F34" s="35"/>
      <c r="N34" s="39">
        <f>N33+1</f>
        <v>1</v>
      </c>
      <c r="O34" s="54">
        <f t="shared" ref="O34:O35" si="4">EXP(-$D$21*(2*$O$30-O$31-$N34)-$D$22*ABS(O$31-$N34))</f>
        <v>0.14956861922263506</v>
      </c>
      <c r="P34" s="54">
        <f t="shared" si="2"/>
        <v>0.54881163609402639</v>
      </c>
      <c r="Q34" s="54">
        <f t="shared" si="2"/>
        <v>0.27253179303401259</v>
      </c>
      <c r="T34" s="39">
        <f t="shared" ref="T34" si="5">T33+1</f>
        <v>2</v>
      </c>
      <c r="U34" s="53">
        <f t="shared" si="3"/>
        <v>0.54881163609402639</v>
      </c>
      <c r="V34" s="53">
        <f t="shared" si="1"/>
        <v>0.74081822068171788</v>
      </c>
      <c r="W34" s="53">
        <f t="shared" si="1"/>
        <v>1</v>
      </c>
    </row>
    <row r="35" spans="3:23" s="35" customFormat="1">
      <c r="N35" s="39">
        <f t="shared" ref="N35" si="6">N34+1</f>
        <v>2</v>
      </c>
      <c r="O35" s="54">
        <f t="shared" si="4"/>
        <v>7.4273578214333877E-2</v>
      </c>
      <c r="P35" s="54">
        <f t="shared" si="2"/>
        <v>0.27253179303401259</v>
      </c>
      <c r="Q35" s="54">
        <f t="shared" si="2"/>
        <v>1</v>
      </c>
    </row>
    <row r="36" spans="3:23" s="35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35" customFormat="1">
      <c r="N37" s="39">
        <v>0</v>
      </c>
      <c r="O37" s="54">
        <f t="shared" ref="O37:Q39" si="8">EXP(($N37+O$31-2*$O$30)*$K$13)</f>
        <v>6.0810062625217973E-2</v>
      </c>
      <c r="P37" s="54">
        <f t="shared" si="8"/>
        <v>0.12245642825298195</v>
      </c>
      <c r="Q37" s="54">
        <f t="shared" si="8"/>
        <v>0.24659696394160649</v>
      </c>
    </row>
    <row r="38" spans="3:23" s="35" customFormat="1">
      <c r="N38" s="39">
        <f>N37+1</f>
        <v>1</v>
      </c>
      <c r="O38" s="54">
        <f t="shared" si="8"/>
        <v>0.12245642825298195</v>
      </c>
      <c r="P38" s="54">
        <f t="shared" si="8"/>
        <v>0.24659696394160649</v>
      </c>
      <c r="Q38" s="54">
        <f t="shared" si="8"/>
        <v>0.49658530379140953</v>
      </c>
    </row>
    <row r="39" spans="3:23" s="35" customFormat="1">
      <c r="N39" s="39">
        <f t="shared" ref="N39" si="9">N38+1</f>
        <v>2</v>
      </c>
      <c r="O39" s="54">
        <f t="shared" si="8"/>
        <v>0.24659696394160649</v>
      </c>
      <c r="P39" s="54">
        <f t="shared" si="8"/>
        <v>0.49658530379140953</v>
      </c>
      <c r="Q39" s="54">
        <f t="shared" si="8"/>
        <v>1</v>
      </c>
    </row>
    <row r="40" spans="3:23" s="35" customFormat="1"/>
    <row r="41" spans="3:23" s="35" customFormat="1"/>
    <row r="42" spans="3:23" s="35" customFormat="1">
      <c r="O42" s="54">
        <f>EXP(($N42+O$31-2*$O$30)*$K$13)</f>
        <v>6.0810062625217973E-2</v>
      </c>
    </row>
    <row r="43" spans="3:23" s="35" customFormat="1"/>
    <row r="44" spans="3:23" s="35" customFormat="1"/>
    <row r="45" spans="3:23" s="35" customFormat="1">
      <c r="O45" s="54">
        <f>(EXP($K$13*($N45+O$31)/2/$O$30)/EXP($K$13))</f>
        <v>0.49658530379140947</v>
      </c>
    </row>
    <row r="46" spans="3:23" s="35" customFormat="1"/>
    <row r="47" spans="3:23" s="35" customFormat="1"/>
    <row r="48" spans="3:23" s="35" customFormat="1">
      <c r="P48" s="35" t="s">
        <v>325</v>
      </c>
    </row>
    <row r="49" spans="15:16" s="35" customFormat="1">
      <c r="O49" s="35">
        <v>0</v>
      </c>
      <c r="P49" s="35">
        <f>$K$14+$K$15*EXP(-$K$16*O49)</f>
        <v>1.0138</v>
      </c>
    </row>
    <row r="50" spans="15:16" s="35" customFormat="1">
      <c r="O50" s="35">
        <f>O49+0.25</f>
        <v>0.25</v>
      </c>
      <c r="P50" s="35">
        <f t="shared" ref="P50:P91" si="10">$K$14+$K$15*EXP(-$K$16*O50)</f>
        <v>0.98841150934382283</v>
      </c>
    </row>
    <row r="51" spans="15:16" s="35" customFormat="1">
      <c r="O51" s="35">
        <f t="shared" ref="O51:O91" si="11">O50+0.25</f>
        <v>0.5</v>
      </c>
      <c r="P51" s="35">
        <f t="shared" si="10"/>
        <v>0.96395745686943579</v>
      </c>
    </row>
    <row r="52" spans="15:16" s="35" customFormat="1">
      <c r="O52" s="35">
        <f t="shared" si="11"/>
        <v>0.75</v>
      </c>
      <c r="P52" s="35">
        <f t="shared" si="10"/>
        <v>0.94040345003545411</v>
      </c>
    </row>
    <row r="53" spans="15:16" s="35" customFormat="1">
      <c r="O53" s="35">
        <f t="shared" si="11"/>
        <v>1</v>
      </c>
      <c r="P53" s="35">
        <f t="shared" si="10"/>
        <v>0.91771636213800489</v>
      </c>
    </row>
    <row r="54" spans="15:16" s="35" customFormat="1">
      <c r="O54" s="35">
        <f t="shared" si="11"/>
        <v>1.25</v>
      </c>
      <c r="P54" s="35">
        <f t="shared" si="10"/>
        <v>0.89586428572084009</v>
      </c>
    </row>
    <row r="55" spans="15:16" s="35" customFormat="1">
      <c r="O55" s="35">
        <f t="shared" si="11"/>
        <v>1.5</v>
      </c>
      <c r="P55" s="35">
        <f t="shared" si="10"/>
        <v>0.87481648770021825</v>
      </c>
    </row>
    <row r="56" spans="15:16" s="35" customFormat="1">
      <c r="O56" s="35">
        <f t="shared" si="11"/>
        <v>1.75</v>
      </c>
      <c r="P56" s="35">
        <f t="shared" si="10"/>
        <v>0.85454336614143989</v>
      </c>
    </row>
    <row r="57" spans="15:16" s="35" customFormat="1">
      <c r="O57" s="35">
        <f t="shared" si="11"/>
        <v>2</v>
      </c>
      <c r="P57" s="35">
        <f t="shared" si="10"/>
        <v>0.83501640862624904</v>
      </c>
    </row>
    <row r="58" spans="15:16" s="35" customFormat="1">
      <c r="O58" s="35">
        <f t="shared" si="11"/>
        <v>2.25</v>
      </c>
      <c r="P58" s="35">
        <f t="shared" si="10"/>
        <v>0.8162081521525455</v>
      </c>
    </row>
    <row r="59" spans="15:16" s="35" customFormat="1">
      <c r="O59" s="35">
        <f t="shared" si="11"/>
        <v>2.5</v>
      </c>
      <c r="P59" s="35">
        <f t="shared" si="10"/>
        <v>0.79809214451001265</v>
      </c>
    </row>
    <row r="60" spans="15:16" s="35" customFormat="1">
      <c r="O60" s="35">
        <f t="shared" si="11"/>
        <v>2.75</v>
      </c>
      <c r="P60" s="35">
        <f t="shared" si="10"/>
        <v>0.7806429070773373</v>
      </c>
    </row>
    <row r="61" spans="15:16" s="35" customFormat="1">
      <c r="O61" s="35">
        <f t="shared" si="11"/>
        <v>3</v>
      </c>
      <c r="P61" s="35">
        <f t="shared" si="10"/>
        <v>0.7638358989886993</v>
      </c>
    </row>
    <row r="62" spans="15:16" s="35" customFormat="1">
      <c r="O62" s="35">
        <f t="shared" si="11"/>
        <v>3.25</v>
      </c>
      <c r="P62" s="35">
        <f t="shared" si="10"/>
        <v>0.74764748261913438</v>
      </c>
    </row>
    <row r="63" spans="15:16" s="35" customFormat="1">
      <c r="O63" s="35">
        <f t="shared" si="11"/>
        <v>3.5</v>
      </c>
      <c r="P63" s="35">
        <f t="shared" si="10"/>
        <v>0.73205489034022908</v>
      </c>
    </row>
    <row r="64" spans="15:16" s="35" customFormat="1">
      <c r="O64" s="35">
        <f t="shared" si="11"/>
        <v>3.75</v>
      </c>
      <c r="P64" s="35">
        <f t="shared" si="10"/>
        <v>0.71703619249939066</v>
      </c>
    </row>
    <row r="65" spans="15:16" s="35" customFormat="1">
      <c r="O65" s="35">
        <f t="shared" si="11"/>
        <v>4</v>
      </c>
      <c r="P65" s="35">
        <f t="shared" si="10"/>
        <v>0.70257026657765942</v>
      </c>
    </row>
    <row r="66" spans="15:16" s="35" customFormat="1">
      <c r="O66" s="35">
        <f t="shared" si="11"/>
        <v>4.25</v>
      </c>
      <c r="P66" s="35">
        <f t="shared" si="10"/>
        <v>0.68863676748268499</v>
      </c>
    </row>
    <row r="67" spans="15:16" s="35" customFormat="1">
      <c r="O67" s="35">
        <f t="shared" si="11"/>
        <v>4.5</v>
      </c>
      <c r="P67" s="35">
        <f t="shared" si="10"/>
        <v>0.67521609893508749</v>
      </c>
    </row>
    <row r="68" spans="15:16" s="35" customFormat="1">
      <c r="O68" s="35">
        <f t="shared" si="11"/>
        <v>4.75</v>
      </c>
      <c r="P68" s="35">
        <f t="shared" si="10"/>
        <v>0.66228938590796005</v>
      </c>
    </row>
    <row r="69" spans="15:16" s="35" customFormat="1">
      <c r="O69" s="35">
        <f t="shared" si="11"/>
        <v>5</v>
      </c>
      <c r="P69" s="35">
        <f t="shared" si="10"/>
        <v>0.64983844808075197</v>
      </c>
    </row>
    <row r="70" spans="15:16" s="35" customFormat="1">
      <c r="O70" s="35">
        <f t="shared" si="11"/>
        <v>5.25</v>
      </c>
      <c r="P70" s="35">
        <f t="shared" si="10"/>
        <v>0.63784577427019618</v>
      </c>
    </row>
    <row r="71" spans="15:16" s="35" customFormat="1">
      <c r="O71" s="35">
        <f t="shared" si="11"/>
        <v>5.5</v>
      </c>
      <c r="P71" s="35">
        <f t="shared" si="10"/>
        <v>0.62629449780232194</v>
      </c>
    </row>
    <row r="72" spans="15:16" s="35" customFormat="1">
      <c r="O72" s="35">
        <f t="shared" si="11"/>
        <v>5.75</v>
      </c>
      <c r="P72" s="35">
        <f t="shared" si="10"/>
        <v>0.61516837279091585</v>
      </c>
    </row>
    <row r="73" spans="15:16" s="35" customFormat="1">
      <c r="O73" s="35">
        <f t="shared" si="11"/>
        <v>6</v>
      </c>
      <c r="P73" s="35">
        <f t="shared" si="10"/>
        <v>0.60445175128906525</v>
      </c>
    </row>
    <row r="74" spans="15:16" s="35" customFormat="1">
      <c r="O74" s="35">
        <f t="shared" si="11"/>
        <v>6.25</v>
      </c>
      <c r="P74" s="35">
        <f t="shared" si="10"/>
        <v>0.59412956128165595</v>
      </c>
    </row>
    <row r="75" spans="15:16" s="35" customFormat="1">
      <c r="O75" s="35">
        <f t="shared" si="11"/>
        <v>6.5</v>
      </c>
      <c r="P75" s="35">
        <f t="shared" si="10"/>
        <v>0.58418728548786558</v>
      </c>
    </row>
    <row r="76" spans="15:16" s="35" customFormat="1">
      <c r="O76" s="35">
        <f t="shared" si="11"/>
        <v>6.75</v>
      </c>
      <c r="P76" s="35">
        <f t="shared" si="10"/>
        <v>0.57461094094384602</v>
      </c>
    </row>
    <row r="77" spans="15:16" s="35" customFormat="1">
      <c r="O77" s="35">
        <f t="shared" si="11"/>
        <v>7</v>
      </c>
      <c r="P77" s="35">
        <f t="shared" si="10"/>
        <v>0.56538705933687494</v>
      </c>
    </row>
    <row r="78" spans="15:16" s="35" customFormat="1">
      <c r="O78" s="35">
        <f t="shared" si="11"/>
        <v>7.25</v>
      </c>
      <c r="P78" s="35">
        <f t="shared" si="10"/>
        <v>0.55650266806332271</v>
      </c>
    </row>
    <row r="79" spans="15:16" s="35" customFormat="1">
      <c r="O79" s="35">
        <f t="shared" si="11"/>
        <v>7.5</v>
      </c>
      <c r="P79" s="35">
        <f t="shared" si="10"/>
        <v>0.54794527198378962</v>
      </c>
    </row>
    <row r="80" spans="15:16" s="35" customFormat="1">
      <c r="O80" s="35">
        <f t="shared" si="11"/>
        <v>7.75</v>
      </c>
      <c r="P80" s="35">
        <f t="shared" si="10"/>
        <v>0.53970283584975731</v>
      </c>
    </row>
    <row r="81" spans="15:16" s="35" customFormat="1">
      <c r="O81" s="35">
        <f t="shared" si="11"/>
        <v>8</v>
      </c>
      <c r="P81" s="35">
        <f t="shared" si="10"/>
        <v>0.53176376737703701</v>
      </c>
    </row>
    <row r="82" spans="15:16" s="35" customFormat="1">
      <c r="O82" s="35">
        <f t="shared" si="11"/>
        <v>8.25</v>
      </c>
      <c r="P82" s="35">
        <f t="shared" si="10"/>
        <v>0.52411690094220942</v>
      </c>
    </row>
    <row r="83" spans="15:16" s="35" customFormat="1">
      <c r="O83" s="35">
        <f t="shared" si="11"/>
        <v>8.5</v>
      </c>
      <c r="P83" s="35">
        <f t="shared" si="10"/>
        <v>0.51675148187912678</v>
      </c>
    </row>
    <row r="84" spans="15:16" s="35" customFormat="1">
      <c r="O84" s="35">
        <f t="shared" si="11"/>
        <v>8.75</v>
      </c>
      <c r="P84" s="35">
        <f t="shared" si="10"/>
        <v>0.50965715135339107</v>
      </c>
    </row>
    <row r="85" spans="15:16" s="35" customFormat="1">
      <c r="O85" s="35">
        <f t="shared" si="11"/>
        <v>9</v>
      </c>
      <c r="P85" s="35">
        <f t="shared" si="10"/>
        <v>0.50282393179353602</v>
      </c>
    </row>
    <row r="86" spans="15:16" s="35" customFormat="1">
      <c r="O86" s="35">
        <f t="shared" si="11"/>
        <v>9.25</v>
      </c>
      <c r="P86" s="35">
        <f t="shared" si="10"/>
        <v>0.49624221285842285</v>
      </c>
    </row>
    <row r="87" spans="15:16" s="35" customFormat="1">
      <c r="O87" s="35">
        <f t="shared" si="11"/>
        <v>9.5</v>
      </c>
      <c r="P87" s="35">
        <f t="shared" si="10"/>
        <v>0.48990273792111438</v>
      </c>
    </row>
    <row r="88" spans="15:16" s="35" customFormat="1">
      <c r="O88" s="35">
        <f t="shared" si="11"/>
        <v>9.75</v>
      </c>
      <c r="P88" s="35">
        <f t="shared" si="10"/>
        <v>0.48379659105021788</v>
      </c>
    </row>
    <row r="89" spans="15:16" s="35" customFormat="1">
      <c r="O89" s="35">
        <f t="shared" si="11"/>
        <v>10</v>
      </c>
      <c r="P89" s="35">
        <f t="shared" si="10"/>
        <v>0.47791518447038689</v>
      </c>
    </row>
    <row r="90" spans="15:16" s="35" customFormat="1">
      <c r="O90" s="35">
        <f t="shared" si="11"/>
        <v>10.25</v>
      </c>
      <c r="P90" s="35">
        <f t="shared" si="10"/>
        <v>0.47225024648434721</v>
      </c>
    </row>
    <row r="91" spans="15:16" s="35" customFormat="1">
      <c r="O91" s="35">
        <f t="shared" si="11"/>
        <v>10.5</v>
      </c>
      <c r="P91" s="35">
        <f t="shared" si="10"/>
        <v>0.46679380983945906</v>
      </c>
    </row>
    <row r="92" spans="15:16" s="35" customFormat="1"/>
    <row r="93" spans="15:16" s="35" customFormat="1"/>
    <row r="94" spans="15:16" s="35" customFormat="1"/>
    <row r="95" spans="15:16" s="35" customFormat="1"/>
    <row r="96" spans="15:16" s="35" customFormat="1"/>
    <row r="97" s="35" customFormat="1"/>
    <row r="98" s="35" customFormat="1"/>
    <row r="99" s="35" customFormat="1"/>
    <row r="100" s="35" customFormat="1"/>
    <row r="101" s="35" customFormat="1"/>
    <row r="102" s="35" customFormat="1"/>
    <row r="103" s="35" customFormat="1"/>
    <row r="104" s="35" customFormat="1"/>
    <row r="105" s="35" customFormat="1"/>
    <row r="106" s="35" customFormat="1"/>
    <row r="107" s="35" customFormat="1"/>
    <row r="108" s="35" customFormat="1"/>
    <row r="109" s="35" customFormat="1"/>
    <row r="110" s="35" customFormat="1"/>
    <row r="111" s="35" customFormat="1"/>
    <row r="112" s="35" customFormat="1"/>
    <row r="113" s="35" customFormat="1"/>
    <row r="114" s="35" customFormat="1"/>
    <row r="115" s="35" customFormat="1"/>
    <row r="116" s="35" customFormat="1"/>
    <row r="117" s="35" customFormat="1"/>
    <row r="118" s="35" customFormat="1"/>
    <row r="119" s="35" customFormat="1"/>
    <row r="120" s="35" customFormat="1"/>
    <row r="121" s="35" customFormat="1"/>
    <row r="122" s="35" customFormat="1"/>
    <row r="123" s="35" customFormat="1"/>
    <row r="124" s="35" customFormat="1"/>
    <row r="125" s="35" customFormat="1"/>
    <row r="126" s="35" customFormat="1"/>
    <row r="127" s="35" customFormat="1"/>
    <row r="128" s="35" customFormat="1"/>
    <row r="129" s="35" customFormat="1"/>
    <row r="130" s="35" customFormat="1"/>
    <row r="131" s="35" customFormat="1"/>
    <row r="132" s="35" customFormat="1"/>
    <row r="133" s="35" customFormat="1"/>
    <row r="134" s="35" customFormat="1"/>
    <row r="135" s="35" customFormat="1"/>
    <row r="136" s="35" customFormat="1"/>
    <row r="137" s="35" customFormat="1"/>
    <row r="138" s="35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workbookViewId="0">
      <selection activeCell="F28" sqref="F28"/>
    </sheetView>
  </sheetViews>
  <sheetFormatPr baseColWidth="10" defaultRowHeight="16" x14ac:dyDescent="0"/>
  <cols>
    <col min="1" max="1" width="10.7109375" style="35"/>
    <col min="2" max="2" width="48.28515625" style="35" bestFit="1" customWidth="1"/>
    <col min="3" max="3" width="10.85546875" style="35" bestFit="1" customWidth="1"/>
    <col min="4" max="5" width="4.5703125" style="35" customWidth="1"/>
    <col min="6" max="6" width="26" style="35" bestFit="1" customWidth="1"/>
    <col min="7" max="9" width="10.85546875" style="35" bestFit="1" customWidth="1"/>
    <col min="10" max="10" width="12.140625" style="35" bestFit="1" customWidth="1"/>
    <col min="11" max="19" width="10.7109375" style="35"/>
    <col min="20" max="21" width="10.85546875" style="35" bestFit="1" customWidth="1"/>
    <col min="22" max="23" width="10.7109375" style="35"/>
    <col min="24" max="29" width="10.85546875" style="35" bestFit="1" customWidth="1"/>
    <col min="30" max="30" width="12.140625" style="35" bestFit="1" customWidth="1"/>
    <col min="31" max="32" width="10.7109375" style="35"/>
    <col min="33" max="34" width="10.85546875" style="35" bestFit="1" customWidth="1"/>
    <col min="35" max="16384" width="10.7109375" style="35"/>
  </cols>
  <sheetData>
    <row r="1" spans="1:9" s="34" customFormat="1" ht="86" customHeight="1">
      <c r="A1" s="33" t="s">
        <v>34</v>
      </c>
    </row>
    <row r="3" spans="1:9">
      <c r="F3" s="59">
        <v>42346.524895833332</v>
      </c>
    </row>
    <row r="5" spans="1:9" ht="18">
      <c r="B5" s="38" t="s">
        <v>95</v>
      </c>
      <c r="C5" s="39"/>
      <c r="F5" s="38" t="s">
        <v>103</v>
      </c>
      <c r="G5" s="39"/>
    </row>
    <row r="6" spans="1:9">
      <c r="B6" s="41" t="s">
        <v>70</v>
      </c>
      <c r="C6" s="52">
        <v>0.25</v>
      </c>
      <c r="D6" s="35">
        <v>0.2</v>
      </c>
      <c r="F6" s="41" t="s">
        <v>96</v>
      </c>
      <c r="G6" s="42">
        <v>5.0000000000000001E-3</v>
      </c>
    </row>
    <row r="7" spans="1:9">
      <c r="B7" s="41" t="s">
        <v>71</v>
      </c>
      <c r="C7" s="52">
        <v>0.55000000000000004</v>
      </c>
      <c r="D7" s="35">
        <v>0.6</v>
      </c>
      <c r="F7" s="41" t="s">
        <v>97</v>
      </c>
      <c r="G7" s="42">
        <v>800</v>
      </c>
      <c r="H7" s="35">
        <v>200</v>
      </c>
    </row>
    <row r="8" spans="1:9">
      <c r="B8" s="41" t="s">
        <v>72</v>
      </c>
      <c r="C8" s="52">
        <v>0.2</v>
      </c>
      <c r="D8" s="35">
        <v>0.2</v>
      </c>
      <c r="F8" s="41" t="s">
        <v>98</v>
      </c>
      <c r="G8" s="73">
        <v>5.0000000000000001E-4</v>
      </c>
      <c r="H8" s="35">
        <v>0.02</v>
      </c>
    </row>
    <row r="9" spans="1:9">
      <c r="B9" s="45" t="s">
        <v>73</v>
      </c>
      <c r="C9" s="46">
        <v>0.35</v>
      </c>
      <c r="F9" s="41" t="s">
        <v>99</v>
      </c>
      <c r="G9" s="42">
        <v>15</v>
      </c>
    </row>
    <row r="10" spans="1:9">
      <c r="B10" s="47" t="s">
        <v>74</v>
      </c>
      <c r="C10" s="48">
        <v>0.6</v>
      </c>
      <c r="F10" s="41" t="s">
        <v>100</v>
      </c>
      <c r="G10" s="42">
        <v>45</v>
      </c>
    </row>
    <row r="11" spans="1:9">
      <c r="B11" s="47" t="s">
        <v>75</v>
      </c>
      <c r="C11" s="48">
        <v>0.35</v>
      </c>
      <c r="F11" s="41" t="s">
        <v>101</v>
      </c>
      <c r="G11" s="42">
        <v>0.05</v>
      </c>
      <c r="H11" s="35">
        <v>0.05</v>
      </c>
    </row>
    <row r="12" spans="1:9">
      <c r="B12" s="49" t="s">
        <v>76</v>
      </c>
      <c r="C12" s="50">
        <v>0.7</v>
      </c>
      <c r="F12" s="41" t="s">
        <v>102</v>
      </c>
      <c r="G12" s="42">
        <v>55</v>
      </c>
    </row>
    <row r="13" spans="1:9">
      <c r="B13" s="41" t="s">
        <v>77</v>
      </c>
      <c r="C13" s="42">
        <v>360</v>
      </c>
      <c r="F13" s="39"/>
      <c r="G13" s="39"/>
    </row>
    <row r="14" spans="1:9" ht="17" thickBot="1">
      <c r="B14" s="41" t="s">
        <v>78</v>
      </c>
      <c r="C14" s="42">
        <v>500</v>
      </c>
    </row>
    <row r="15" spans="1:9">
      <c r="B15" s="74" t="s">
        <v>79</v>
      </c>
      <c r="C15" s="75">
        <v>20</v>
      </c>
      <c r="D15" s="35">
        <v>19</v>
      </c>
      <c r="H15" s="76"/>
      <c r="I15" s="77" t="s">
        <v>323</v>
      </c>
    </row>
    <row r="16" spans="1:9">
      <c r="B16" s="47" t="s">
        <v>80</v>
      </c>
      <c r="C16" s="48">
        <v>30</v>
      </c>
      <c r="D16" s="35">
        <v>25</v>
      </c>
      <c r="H16" s="76">
        <v>0</v>
      </c>
      <c r="I16" s="78">
        <f>$C$25*EXP(-$C$26*(2-H16))</f>
        <v>5.6267587359629558E-8</v>
      </c>
    </row>
    <row r="17" spans="2:28">
      <c r="B17" s="49" t="s">
        <v>81</v>
      </c>
      <c r="C17" s="50">
        <v>5</v>
      </c>
      <c r="D17" s="35">
        <v>3</v>
      </c>
      <c r="H17" s="76">
        <v>1</v>
      </c>
      <c r="I17" s="78">
        <f t="shared" ref="I17:I18" si="0">$C$25*EXP(-$C$26*(2-H17))</f>
        <v>1.6773131395125593E-4</v>
      </c>
    </row>
    <row r="18" spans="2:28">
      <c r="B18" s="47" t="s">
        <v>82</v>
      </c>
      <c r="C18" s="48">
        <v>0.4</v>
      </c>
      <c r="H18" s="76">
        <v>2</v>
      </c>
      <c r="I18" s="78">
        <f t="shared" si="0"/>
        <v>0.5</v>
      </c>
    </row>
    <row r="19" spans="2:28">
      <c r="B19" s="45" t="s">
        <v>83</v>
      </c>
      <c r="C19" s="46">
        <v>0.8</v>
      </c>
    </row>
    <row r="20" spans="2:28">
      <c r="B20" s="49" t="s">
        <v>84</v>
      </c>
      <c r="C20" s="50">
        <v>0.8</v>
      </c>
      <c r="Y20" s="35" t="s">
        <v>330</v>
      </c>
      <c r="Z20" s="35" t="s">
        <v>331</v>
      </c>
      <c r="AA20" s="35" t="s">
        <v>330</v>
      </c>
      <c r="AB20" s="35" t="s">
        <v>331</v>
      </c>
    </row>
    <row r="21" spans="2:28" ht="17" thickBot="1">
      <c r="B21" s="79" t="s">
        <v>85</v>
      </c>
      <c r="C21" s="80">
        <v>2</v>
      </c>
      <c r="X21" s="35">
        <v>0</v>
      </c>
      <c r="Y21" s="81">
        <f t="shared" ref="Y21:Z23" si="1">1/AA21</f>
        <v>2.8571428571428572</v>
      </c>
      <c r="Z21" s="81">
        <f t="shared" si="1"/>
        <v>2.8571428571428572</v>
      </c>
      <c r="AA21" s="35">
        <f>$C$9*EXP(-$C$10*X21)</f>
        <v>0.35</v>
      </c>
      <c r="AB21" s="35">
        <f>$C$11*EXP(-$C$12*X21)</f>
        <v>0.35</v>
      </c>
    </row>
    <row r="22" spans="2:28">
      <c r="B22" s="41" t="s">
        <v>86</v>
      </c>
      <c r="C22" s="42">
        <v>2</v>
      </c>
      <c r="X22" s="35">
        <v>1</v>
      </c>
      <c r="Y22" s="81">
        <f t="shared" si="1"/>
        <v>5.2060537154014552</v>
      </c>
      <c r="Z22" s="81">
        <f t="shared" si="1"/>
        <v>5.7535791642013612</v>
      </c>
      <c r="AA22" s="35">
        <f>$C$9*EXP(-$C$10*X22)</f>
        <v>0.19208407263290922</v>
      </c>
      <c r="AB22" s="35">
        <f>$C$11*EXP(-$C$12*X22)</f>
        <v>0.17380485632699333</v>
      </c>
    </row>
    <row r="23" spans="2:28">
      <c r="B23" s="41" t="s">
        <v>87</v>
      </c>
      <c r="C23" s="42">
        <v>99999</v>
      </c>
      <c r="X23" s="35">
        <v>2</v>
      </c>
      <c r="Y23" s="81">
        <f t="shared" si="1"/>
        <v>9.4860483506758495</v>
      </c>
      <c r="Z23" s="81">
        <f t="shared" si="1"/>
        <v>11.586285619556213</v>
      </c>
      <c r="AA23" s="35">
        <f>$C$9*EXP(-$C$10*X23)</f>
        <v>0.10541797416927075</v>
      </c>
      <c r="AB23" s="35">
        <f>$C$11*EXP(-$C$12*X23)</f>
        <v>8.6308937379562273E-2</v>
      </c>
    </row>
    <row r="24" spans="2:28">
      <c r="B24" s="41" t="s">
        <v>88</v>
      </c>
      <c r="C24" s="42">
        <v>99999</v>
      </c>
    </row>
    <row r="25" spans="2:28">
      <c r="B25" s="45" t="s">
        <v>89</v>
      </c>
      <c r="C25" s="46">
        <v>0.5</v>
      </c>
      <c r="D25" s="82">
        <v>0.1</v>
      </c>
    </row>
    <row r="26" spans="2:28">
      <c r="B26" s="49" t="s">
        <v>90</v>
      </c>
      <c r="C26" s="83">
        <v>8</v>
      </c>
      <c r="D26" s="35">
        <v>6</v>
      </c>
    </row>
    <row r="27" spans="2:28">
      <c r="B27" s="41" t="s">
        <v>91</v>
      </c>
      <c r="C27" s="42">
        <v>0.1</v>
      </c>
    </row>
    <row r="28" spans="2:28">
      <c r="B28" s="41" t="s">
        <v>92</v>
      </c>
      <c r="C28" s="42">
        <v>0.2</v>
      </c>
    </row>
    <row r="29" spans="2:28">
      <c r="B29" s="41" t="s">
        <v>93</v>
      </c>
      <c r="C29" s="42">
        <v>0.7</v>
      </c>
    </row>
    <row r="30" spans="2:28">
      <c r="B30" s="41" t="s">
        <v>94</v>
      </c>
      <c r="C30" s="42">
        <v>0.75</v>
      </c>
    </row>
    <row r="31" spans="2:28">
      <c r="B31" s="39"/>
      <c r="C31" s="39"/>
    </row>
    <row r="32" spans="2:28">
      <c r="U32" s="35">
        <v>2</v>
      </c>
    </row>
    <row r="33" spans="20:34">
      <c r="U33" s="84" t="s">
        <v>327</v>
      </c>
      <c r="Y33" s="35" t="s">
        <v>328</v>
      </c>
      <c r="AD33" s="35" t="s">
        <v>326</v>
      </c>
      <c r="AH33" s="35" t="s">
        <v>329</v>
      </c>
    </row>
    <row r="34" spans="20:34">
      <c r="T34" s="35">
        <v>12</v>
      </c>
      <c r="U34" s="53">
        <f>IF(T34&lt;$C$15,((T34-12)/($C$15-12))^$U$32,EXP(-(((T34-$C$15)/$C$16)^$C$17)))</f>
        <v>0</v>
      </c>
      <c r="X34" s="35">
        <v>0</v>
      </c>
      <c r="Y34" s="35">
        <f>(1-$C$18)*X34/2+$C$18</f>
        <v>0.4</v>
      </c>
      <c r="AB34" s="35">
        <v>2.5000000000000001E-3</v>
      </c>
      <c r="AC34" s="35">
        <v>0</v>
      </c>
      <c r="AD34" s="35">
        <f>(1+EXP(-$G$7*$G$8))/(1+EXP($G$7*(AC34-$G$8)))</f>
        <v>1</v>
      </c>
      <c r="AG34" s="35">
        <v>0</v>
      </c>
      <c r="AH34" s="53">
        <f>2/(1+EXP(-$C$21*AG34))-1</f>
        <v>0</v>
      </c>
    </row>
    <row r="35" spans="20:34">
      <c r="T35" s="35">
        <f>T34+1</f>
        <v>13</v>
      </c>
      <c r="U35" s="53">
        <f t="shared" ref="U35:U98" si="2">IF(T35&lt;$C$15,((T35-12)/($C$15-12))^$U$32,EXP(-(((T35-$C$15)/$C$16)^$C$17)))</f>
        <v>1.5625E-2</v>
      </c>
      <c r="X35" s="35">
        <v>1</v>
      </c>
      <c r="Y35" s="35">
        <f t="shared" ref="Y35:Y36" si="3">(1-$C$18)*X35/2+$C$18</f>
        <v>0.7</v>
      </c>
      <c r="AC35" s="35">
        <f t="shared" ref="AC35:AC62" si="4">AC34+$AB$34</f>
        <v>2.5000000000000001E-3</v>
      </c>
      <c r="AD35" s="35">
        <f t="shared" ref="AD35:AD62" si="5">(1+EXP(-$G$7*$G$8))/(1+EXP($G$7*(AC35-$G$8)))</f>
        <v>0.28058305867624428</v>
      </c>
      <c r="AG35" s="35">
        <f>AG34+1</f>
        <v>1</v>
      </c>
      <c r="AH35" s="53">
        <f t="shared" ref="AH35:AH47" si="6">2/(1+EXP(-$C$21*AG35))-1</f>
        <v>0.76159415595576463</v>
      </c>
    </row>
    <row r="36" spans="20:34">
      <c r="T36" s="35">
        <f t="shared" ref="T36:T99" si="7">T35+1</f>
        <v>14</v>
      </c>
      <c r="U36" s="53">
        <f t="shared" si="2"/>
        <v>6.25E-2</v>
      </c>
      <c r="X36" s="35">
        <v>2</v>
      </c>
      <c r="Y36" s="35">
        <f t="shared" si="3"/>
        <v>1</v>
      </c>
      <c r="AC36" s="35">
        <f t="shared" si="4"/>
        <v>5.0000000000000001E-3</v>
      </c>
      <c r="AD36" s="35">
        <f t="shared" si="5"/>
        <v>4.4425491535720153E-2</v>
      </c>
      <c r="AG36" s="35">
        <f t="shared" ref="AG36:AG47" si="8">AG35+1</f>
        <v>2</v>
      </c>
      <c r="AH36" s="53">
        <f t="shared" si="6"/>
        <v>0.9640275800758169</v>
      </c>
    </row>
    <row r="37" spans="20:34">
      <c r="T37" s="35">
        <f t="shared" si="7"/>
        <v>15</v>
      </c>
      <c r="U37" s="53">
        <f t="shared" si="2"/>
        <v>0.140625</v>
      </c>
      <c r="AC37" s="35">
        <f t="shared" si="4"/>
        <v>7.4999999999999997E-3</v>
      </c>
      <c r="AD37" s="35">
        <f t="shared" si="5"/>
        <v>6.1538597584322599E-3</v>
      </c>
      <c r="AG37" s="35">
        <f t="shared" si="8"/>
        <v>3</v>
      </c>
      <c r="AH37" s="53">
        <f t="shared" si="6"/>
        <v>0.99505475368673069</v>
      </c>
    </row>
    <row r="38" spans="20:34">
      <c r="T38" s="35">
        <f t="shared" si="7"/>
        <v>16</v>
      </c>
      <c r="U38" s="53">
        <f t="shared" si="2"/>
        <v>0.25</v>
      </c>
      <c r="AC38" s="35">
        <f t="shared" si="4"/>
        <v>0.01</v>
      </c>
      <c r="AD38" s="35">
        <f t="shared" si="5"/>
        <v>8.3549593620421561E-4</v>
      </c>
      <c r="AG38" s="35">
        <f t="shared" si="8"/>
        <v>4</v>
      </c>
      <c r="AH38" s="53">
        <f t="shared" si="6"/>
        <v>0.99932929973906726</v>
      </c>
    </row>
    <row r="39" spans="20:34">
      <c r="T39" s="35">
        <f t="shared" si="7"/>
        <v>17</v>
      </c>
      <c r="U39" s="53">
        <f t="shared" si="2"/>
        <v>0.390625</v>
      </c>
      <c r="AC39" s="35">
        <f t="shared" si="4"/>
        <v>1.2500000000000001E-2</v>
      </c>
      <c r="AD39" s="35">
        <f t="shared" si="5"/>
        <v>1.1312100471061915E-4</v>
      </c>
      <c r="AG39" s="35">
        <f t="shared" si="8"/>
        <v>5</v>
      </c>
      <c r="AH39" s="53">
        <f t="shared" si="6"/>
        <v>0.99990920426259522</v>
      </c>
    </row>
    <row r="40" spans="20:34">
      <c r="T40" s="35">
        <f t="shared" si="7"/>
        <v>18</v>
      </c>
      <c r="U40" s="53">
        <f t="shared" si="2"/>
        <v>0.5625</v>
      </c>
      <c r="AC40" s="35">
        <f t="shared" si="4"/>
        <v>1.5000000000000001E-2</v>
      </c>
      <c r="AD40" s="35">
        <f t="shared" si="5"/>
        <v>1.531015975530823E-5</v>
      </c>
      <c r="AG40" s="35">
        <f t="shared" si="8"/>
        <v>6</v>
      </c>
      <c r="AH40" s="53">
        <f t="shared" si="6"/>
        <v>0.99998771165079559</v>
      </c>
    </row>
    <row r="41" spans="20:34">
      <c r="T41" s="35">
        <f t="shared" si="7"/>
        <v>19</v>
      </c>
      <c r="U41" s="53">
        <f t="shared" si="2"/>
        <v>0.765625</v>
      </c>
      <c r="AC41" s="35">
        <f t="shared" si="4"/>
        <v>1.7500000000000002E-2</v>
      </c>
      <c r="AD41" s="35">
        <f t="shared" si="5"/>
        <v>2.0720212287281381E-6</v>
      </c>
      <c r="AG41" s="35">
        <f t="shared" si="8"/>
        <v>7</v>
      </c>
      <c r="AH41" s="53">
        <f t="shared" si="6"/>
        <v>0.99999833694394447</v>
      </c>
    </row>
    <row r="42" spans="20:34">
      <c r="T42" s="35">
        <f t="shared" si="7"/>
        <v>20</v>
      </c>
      <c r="U42" s="53">
        <f t="shared" si="2"/>
        <v>1</v>
      </c>
      <c r="AC42" s="35">
        <f t="shared" si="4"/>
        <v>0.02</v>
      </c>
      <c r="AD42" s="35">
        <f t="shared" si="5"/>
        <v>2.8041788064149972E-7</v>
      </c>
      <c r="AG42" s="35">
        <f t="shared" si="8"/>
        <v>8</v>
      </c>
      <c r="AH42" s="53">
        <f t="shared" si="6"/>
        <v>0.99999977492967584</v>
      </c>
    </row>
    <row r="43" spans="20:34">
      <c r="T43" s="35">
        <f t="shared" si="7"/>
        <v>21</v>
      </c>
      <c r="U43" s="53">
        <f t="shared" si="2"/>
        <v>0.99999995884773751</v>
      </c>
      <c r="AC43" s="35">
        <f t="shared" si="4"/>
        <v>2.2499999999999999E-2</v>
      </c>
      <c r="AD43" s="35">
        <f t="shared" si="5"/>
        <v>3.7950438810199871E-8</v>
      </c>
      <c r="AG43" s="35">
        <f t="shared" si="8"/>
        <v>9</v>
      </c>
      <c r="AH43" s="53">
        <f t="shared" si="6"/>
        <v>0.999999969540041</v>
      </c>
    </row>
    <row r="44" spans="20:34">
      <c r="T44" s="35">
        <f t="shared" si="7"/>
        <v>22</v>
      </c>
      <c r="U44" s="53">
        <f t="shared" si="2"/>
        <v>0.99999868312843909</v>
      </c>
      <c r="AC44" s="35">
        <f t="shared" si="4"/>
        <v>2.4999999999999998E-2</v>
      </c>
      <c r="AD44" s="35">
        <f t="shared" si="5"/>
        <v>5.1360334862324931E-9</v>
      </c>
      <c r="AG44" s="35">
        <f t="shared" si="8"/>
        <v>10</v>
      </c>
      <c r="AH44" s="53">
        <f t="shared" si="6"/>
        <v>0.99999999587769262</v>
      </c>
    </row>
    <row r="45" spans="20:34">
      <c r="T45" s="35">
        <f t="shared" si="7"/>
        <v>23</v>
      </c>
      <c r="U45" s="53">
        <f t="shared" si="2"/>
        <v>0.99999000004999983</v>
      </c>
      <c r="AC45" s="35">
        <f t="shared" si="4"/>
        <v>2.7499999999999997E-2</v>
      </c>
      <c r="AD45" s="35">
        <f t="shared" si="5"/>
        <v>6.9508654842005625E-10</v>
      </c>
      <c r="AG45" s="35">
        <f t="shared" si="8"/>
        <v>11</v>
      </c>
      <c r="AH45" s="53">
        <f t="shared" si="6"/>
        <v>0.99999999944210627</v>
      </c>
    </row>
    <row r="46" spans="20:34">
      <c r="T46" s="35">
        <f t="shared" si="7"/>
        <v>24</v>
      </c>
      <c r="U46" s="53">
        <f t="shared" si="2"/>
        <v>0.99995786097017836</v>
      </c>
      <c r="AC46" s="35">
        <f t="shared" si="4"/>
        <v>2.9999999999999995E-2</v>
      </c>
      <c r="AD46" s="35">
        <f t="shared" si="5"/>
        <v>9.4069734938236453E-11</v>
      </c>
      <c r="AG46" s="35">
        <f t="shared" si="8"/>
        <v>12</v>
      </c>
      <c r="AH46" s="53">
        <f t="shared" si="6"/>
        <v>0.99999999992449728</v>
      </c>
    </row>
    <row r="47" spans="20:34">
      <c r="T47" s="35">
        <f t="shared" si="7"/>
        <v>25</v>
      </c>
      <c r="U47" s="53">
        <f t="shared" si="2"/>
        <v>0.99987140744568614</v>
      </c>
      <c r="AC47" s="35">
        <f t="shared" si="4"/>
        <v>3.2499999999999994E-2</v>
      </c>
      <c r="AD47" s="35">
        <f t="shared" si="5"/>
        <v>1.2730954222479264E-11</v>
      </c>
      <c r="AG47" s="35">
        <f t="shared" si="8"/>
        <v>13</v>
      </c>
      <c r="AH47" s="53">
        <f t="shared" si="6"/>
        <v>0.99999999998978195</v>
      </c>
    </row>
    <row r="48" spans="20:34">
      <c r="T48" s="35">
        <f t="shared" si="7"/>
        <v>26</v>
      </c>
      <c r="U48" s="53">
        <f t="shared" si="2"/>
        <v>0.99968005119453907</v>
      </c>
      <c r="AC48" s="35">
        <f t="shared" si="4"/>
        <v>3.4999999999999996E-2</v>
      </c>
      <c r="AD48" s="35">
        <f t="shared" si="5"/>
        <v>1.7229472955829304E-12</v>
      </c>
    </row>
    <row r="49" spans="20:30">
      <c r="T49" s="35">
        <f t="shared" si="7"/>
        <v>27</v>
      </c>
      <c r="U49" s="53">
        <f t="shared" si="2"/>
        <v>0.99930859304148756</v>
      </c>
      <c r="AC49" s="35">
        <f t="shared" si="4"/>
        <v>3.7499999999999999E-2</v>
      </c>
      <c r="AD49" s="35">
        <f t="shared" si="5"/>
        <v>2.3317556024967972E-13</v>
      </c>
    </row>
    <row r="50" spans="20:30">
      <c r="T50" s="35">
        <f t="shared" si="7"/>
        <v>28</v>
      </c>
      <c r="U50" s="53">
        <f t="shared" si="2"/>
        <v>0.99865243142080973</v>
      </c>
      <c r="AC50" s="35">
        <f t="shared" si="4"/>
        <v>0.04</v>
      </c>
      <c r="AD50" s="35">
        <f t="shared" si="5"/>
        <v>3.1556880490249947E-14</v>
      </c>
    </row>
    <row r="51" spans="20:30">
      <c r="T51" s="35">
        <f t="shared" si="7"/>
        <v>29</v>
      </c>
      <c r="U51" s="53">
        <f t="shared" si="2"/>
        <v>0.9975729500599676</v>
      </c>
      <c r="AC51" s="35">
        <f t="shared" si="4"/>
        <v>4.2500000000000003E-2</v>
      </c>
      <c r="AD51" s="35">
        <f t="shared" si="5"/>
        <v>4.2707593592119833E-15</v>
      </c>
    </row>
    <row r="52" spans="20:30">
      <c r="T52" s="35">
        <f t="shared" si="7"/>
        <v>30</v>
      </c>
      <c r="U52" s="53">
        <f t="shared" si="2"/>
        <v>0.99589322960310911</v>
      </c>
      <c r="AC52" s="35">
        <f t="shared" si="4"/>
        <v>4.5000000000000005E-2</v>
      </c>
      <c r="AD52" s="35">
        <f t="shared" si="5"/>
        <v>5.7798442751436966E-16</v>
      </c>
    </row>
    <row r="53" spans="20:30">
      <c r="T53" s="35">
        <f t="shared" si="7"/>
        <v>31</v>
      </c>
      <c r="U53" s="53">
        <f t="shared" si="2"/>
        <v>0.99339430101978476</v>
      </c>
      <c r="AC53" s="35">
        <f t="shared" si="4"/>
        <v>4.7500000000000007E-2</v>
      </c>
      <c r="AD53" s="35">
        <f t="shared" si="5"/>
        <v>7.8221686204008112E-17</v>
      </c>
    </row>
    <row r="54" spans="20:30">
      <c r="T54" s="35">
        <f t="shared" si="7"/>
        <v>32</v>
      </c>
      <c r="U54" s="53">
        <f t="shared" si="2"/>
        <v>0.98981225030022257</v>
      </c>
      <c r="AC54" s="35">
        <f t="shared" si="4"/>
        <v>5.000000000000001E-2</v>
      </c>
      <c r="AD54" s="35">
        <f t="shared" si="5"/>
        <v>1.0586154057664879E-17</v>
      </c>
    </row>
    <row r="55" spans="20:30">
      <c r="T55" s="35">
        <f t="shared" si="7"/>
        <v>33</v>
      </c>
      <c r="U55" s="53">
        <f t="shared" si="2"/>
        <v>0.98483659268346024</v>
      </c>
      <c r="AC55" s="35">
        <f t="shared" si="4"/>
        <v>5.2500000000000012E-2</v>
      </c>
      <c r="AD55" s="35">
        <f t="shared" si="5"/>
        <v>1.4326801577804928E-18</v>
      </c>
    </row>
    <row r="56" spans="20:30">
      <c r="T56" s="35">
        <f t="shared" si="7"/>
        <v>34</v>
      </c>
      <c r="U56" s="53">
        <f t="shared" si="2"/>
        <v>0.97811045573808553</v>
      </c>
      <c r="AC56" s="35">
        <f t="shared" si="4"/>
        <v>5.5000000000000014E-2</v>
      </c>
      <c r="AD56" s="35">
        <f t="shared" si="5"/>
        <v>1.9389217494069798E-19</v>
      </c>
    </row>
    <row r="57" spans="20:30">
      <c r="T57" s="35">
        <f t="shared" si="7"/>
        <v>35</v>
      </c>
      <c r="U57" s="53">
        <f t="shared" si="2"/>
        <v>0.96923323447634413</v>
      </c>
      <c r="AC57" s="35">
        <f t="shared" si="4"/>
        <v>5.7500000000000016E-2</v>
      </c>
      <c r="AD57" s="35">
        <f t="shared" si="5"/>
        <v>2.6240452412962031E-20</v>
      </c>
    </row>
    <row r="58" spans="20:30">
      <c r="T58" s="35">
        <f t="shared" si="7"/>
        <v>36</v>
      </c>
      <c r="U58" s="53">
        <f t="shared" si="2"/>
        <v>0.95776649229167843</v>
      </c>
      <c r="AC58" s="35">
        <f t="shared" si="4"/>
        <v>6.0000000000000019E-2</v>
      </c>
      <c r="AD58" s="35">
        <f t="shared" si="5"/>
        <v>3.5512590595650736E-21</v>
      </c>
    </row>
    <row r="59" spans="20:30">
      <c r="T59" s="35">
        <f t="shared" si="7"/>
        <v>37</v>
      </c>
      <c r="U59" s="53">
        <f t="shared" si="2"/>
        <v>0.94324395465429489</v>
      </c>
      <c r="AC59" s="35">
        <f t="shared" si="4"/>
        <v>6.2500000000000014E-2</v>
      </c>
      <c r="AD59" s="35">
        <f t="shared" si="5"/>
        <v>4.8061065067282942E-22</v>
      </c>
    </row>
    <row r="60" spans="20:30">
      <c r="T60" s="35">
        <f t="shared" si="7"/>
        <v>38</v>
      </c>
      <c r="U60" s="53">
        <f t="shared" si="2"/>
        <v>0.92518644464701649</v>
      </c>
      <c r="AC60" s="35">
        <f t="shared" si="4"/>
        <v>6.5000000000000016E-2</v>
      </c>
      <c r="AD60" s="35">
        <f t="shared" si="5"/>
        <v>6.5043578535339627E-23</v>
      </c>
    </row>
    <row r="61" spans="20:30">
      <c r="T61" s="35">
        <f t="shared" si="7"/>
        <v>39</v>
      </c>
      <c r="U61" s="53">
        <f t="shared" si="2"/>
        <v>0.90312249788846444</v>
      </c>
      <c r="AC61" s="35">
        <f t="shared" si="4"/>
        <v>6.7500000000000018E-2</v>
      </c>
      <c r="AD61" s="35">
        <f t="shared" si="5"/>
        <v>8.8026911238030511E-24</v>
      </c>
    </row>
    <row r="62" spans="20:30">
      <c r="T62" s="35">
        <f t="shared" si="7"/>
        <v>40</v>
      </c>
      <c r="U62" s="53">
        <f t="shared" si="2"/>
        <v>0.87661511990170371</v>
      </c>
      <c r="AC62" s="35">
        <f t="shared" si="4"/>
        <v>7.0000000000000021E-2</v>
      </c>
      <c r="AD62" s="35">
        <f t="shared" si="5"/>
        <v>1.1913146964843025E-24</v>
      </c>
    </row>
    <row r="63" spans="20:30">
      <c r="T63" s="35">
        <f t="shared" si="7"/>
        <v>41</v>
      </c>
      <c r="U63" s="53">
        <f t="shared" si="2"/>
        <v>0.84529466198729941</v>
      </c>
    </row>
    <row r="64" spans="20:30">
      <c r="T64" s="35">
        <f t="shared" si="7"/>
        <v>42</v>
      </c>
      <c r="U64" s="53">
        <f t="shared" si="2"/>
        <v>0.80889705363488418</v>
      </c>
    </row>
    <row r="65" spans="20:21">
      <c r="T65" s="35">
        <f t="shared" si="7"/>
        <v>43</v>
      </c>
      <c r="U65" s="53">
        <f t="shared" si="2"/>
        <v>0.76730563007979435</v>
      </c>
    </row>
    <row r="66" spans="20:21">
      <c r="T66" s="35">
        <f t="shared" si="7"/>
        <v>44</v>
      </c>
      <c r="U66" s="53">
        <f t="shared" si="2"/>
        <v>0.72059357275812796</v>
      </c>
    </row>
    <row r="67" spans="20:21">
      <c r="T67" s="35">
        <f t="shared" si="7"/>
        <v>45</v>
      </c>
      <c r="U67" s="53">
        <f t="shared" si="2"/>
        <v>0.66906265266781872</v>
      </c>
    </row>
    <row r="68" spans="20:21">
      <c r="T68" s="35">
        <f t="shared" si="7"/>
        <v>46</v>
      </c>
      <c r="U68" s="53">
        <f t="shared" si="2"/>
        <v>0.6132727406148557</v>
      </c>
    </row>
    <row r="69" spans="20:21">
      <c r="T69" s="35">
        <f t="shared" si="7"/>
        <v>47</v>
      </c>
      <c r="U69" s="53">
        <f t="shared" si="2"/>
        <v>0.5540557309011096</v>
      </c>
    </row>
    <row r="70" spans="20:21">
      <c r="T70" s="35">
        <f t="shared" si="7"/>
        <v>48</v>
      </c>
      <c r="U70" s="53">
        <f t="shared" si="2"/>
        <v>0.49250749672567706</v>
      </c>
    </row>
    <row r="71" spans="20:21">
      <c r="T71" s="35">
        <f t="shared" si="7"/>
        <v>49</v>
      </c>
      <c r="U71" s="53">
        <f t="shared" si="2"/>
        <v>0.42995264435709701</v>
      </c>
    </row>
    <row r="72" spans="20:21">
      <c r="T72" s="35">
        <f t="shared" si="7"/>
        <v>50</v>
      </c>
      <c r="U72" s="53">
        <f t="shared" si="2"/>
        <v>0.36787944117144233</v>
      </c>
    </row>
    <row r="73" spans="20:21">
      <c r="T73" s="35">
        <f t="shared" si="7"/>
        <v>51</v>
      </c>
      <c r="U73" s="53">
        <f t="shared" si="2"/>
        <v>0.30784638755075239</v>
      </c>
    </row>
    <row r="74" spans="20:21">
      <c r="T74" s="35">
        <f t="shared" si="7"/>
        <v>52</v>
      </c>
      <c r="U74" s="53">
        <f t="shared" si="2"/>
        <v>0.25136710892065856</v>
      </c>
    </row>
    <row r="75" spans="20:21">
      <c r="T75" s="35">
        <f t="shared" si="7"/>
        <v>53</v>
      </c>
      <c r="U75" s="53">
        <f t="shared" si="2"/>
        <v>0.19978569738293162</v>
      </c>
    </row>
    <row r="76" spans="20:21">
      <c r="T76" s="35">
        <f t="shared" si="7"/>
        <v>54</v>
      </c>
      <c r="U76" s="53">
        <f t="shared" si="2"/>
        <v>0.15415903186230032</v>
      </c>
    </row>
    <row r="77" spans="20:21">
      <c r="T77" s="35">
        <f t="shared" si="7"/>
        <v>55</v>
      </c>
      <c r="U77" s="53">
        <f t="shared" si="2"/>
        <v>0.11516446602782729</v>
      </c>
    </row>
    <row r="78" spans="20:21">
      <c r="T78" s="35">
        <f t="shared" si="7"/>
        <v>56</v>
      </c>
      <c r="U78" s="53">
        <f t="shared" si="2"/>
        <v>8.3049372387112769E-2</v>
      </c>
    </row>
    <row r="79" spans="20:21">
      <c r="T79" s="35">
        <f t="shared" si="7"/>
        <v>57</v>
      </c>
      <c r="U79" s="53">
        <f t="shared" si="2"/>
        <v>5.7632952555076798E-2</v>
      </c>
    </row>
    <row r="80" spans="20:21">
      <c r="T80" s="35">
        <f t="shared" si="7"/>
        <v>58</v>
      </c>
      <c r="U80" s="53">
        <f t="shared" si="2"/>
        <v>3.8361286113799832E-2</v>
      </c>
    </row>
    <row r="81" spans="20:21">
      <c r="T81" s="35">
        <f t="shared" si="7"/>
        <v>59</v>
      </c>
      <c r="U81" s="53">
        <f t="shared" si="2"/>
        <v>2.4405909094469651E-2</v>
      </c>
    </row>
    <row r="82" spans="20:21">
      <c r="T82" s="35">
        <f t="shared" si="7"/>
        <v>60</v>
      </c>
      <c r="U82" s="53">
        <f t="shared" si="2"/>
        <v>1.4787223182517921E-2</v>
      </c>
    </row>
    <row r="83" spans="20:21">
      <c r="T83" s="35">
        <f t="shared" si="7"/>
        <v>61</v>
      </c>
      <c r="U83" s="53">
        <f t="shared" si="2"/>
        <v>8.499525869339471E-3</v>
      </c>
    </row>
    <row r="84" spans="20:21">
      <c r="T84" s="35">
        <f t="shared" si="7"/>
        <v>62</v>
      </c>
      <c r="U84" s="53">
        <f t="shared" si="2"/>
        <v>4.6159388373727978E-3</v>
      </c>
    </row>
    <row r="85" spans="20:21">
      <c r="T85" s="35">
        <f t="shared" si="7"/>
        <v>63</v>
      </c>
      <c r="U85" s="53">
        <f t="shared" si="2"/>
        <v>2.3584983269535802E-3</v>
      </c>
    </row>
    <row r="86" spans="20:21">
      <c r="T86" s="35">
        <f t="shared" si="7"/>
        <v>64</v>
      </c>
      <c r="U86" s="53">
        <f t="shared" si="2"/>
        <v>1.1287145222061334E-3</v>
      </c>
    </row>
    <row r="87" spans="20:21">
      <c r="T87" s="35">
        <f t="shared" si="7"/>
        <v>65</v>
      </c>
      <c r="U87" s="53">
        <f t="shared" si="2"/>
        <v>5.0358904973695255E-4</v>
      </c>
    </row>
    <row r="88" spans="20:21">
      <c r="T88" s="35">
        <f t="shared" si="7"/>
        <v>66</v>
      </c>
      <c r="U88" s="53">
        <f t="shared" si="2"/>
        <v>2.084434797635917E-4</v>
      </c>
    </row>
    <row r="89" spans="20:21">
      <c r="T89" s="35">
        <f t="shared" si="7"/>
        <v>67</v>
      </c>
      <c r="U89" s="53">
        <f t="shared" si="2"/>
        <v>7.963426191225911E-5</v>
      </c>
    </row>
    <row r="90" spans="20:21">
      <c r="T90" s="35">
        <f t="shared" si="7"/>
        <v>68</v>
      </c>
      <c r="U90" s="53">
        <f t="shared" si="2"/>
        <v>2.7931373575515185E-5</v>
      </c>
    </row>
    <row r="91" spans="20:21">
      <c r="T91" s="35">
        <f t="shared" si="7"/>
        <v>69</v>
      </c>
      <c r="U91" s="53">
        <f t="shared" si="2"/>
        <v>8.9442844052088149E-6</v>
      </c>
    </row>
    <row r="92" spans="20:21">
      <c r="T92" s="35">
        <f t="shared" si="7"/>
        <v>70</v>
      </c>
      <c r="U92" s="53">
        <f t="shared" si="2"/>
        <v>2.5997837108630648E-6</v>
      </c>
    </row>
    <row r="93" spans="20:21">
      <c r="T93" s="35">
        <f t="shared" si="7"/>
        <v>71</v>
      </c>
      <c r="U93" s="53">
        <f t="shared" si="2"/>
        <v>6.8177237214379498E-7</v>
      </c>
    </row>
    <row r="94" spans="20:21">
      <c r="T94" s="35">
        <f t="shared" si="7"/>
        <v>72</v>
      </c>
      <c r="U94" s="53">
        <f t="shared" si="2"/>
        <v>1.6029395943683165E-7</v>
      </c>
    </row>
    <row r="95" spans="20:21">
      <c r="T95" s="35">
        <f t="shared" si="7"/>
        <v>73</v>
      </c>
      <c r="U95" s="53">
        <f t="shared" si="2"/>
        <v>3.3568051519322338E-8</v>
      </c>
    </row>
    <row r="96" spans="20:21">
      <c r="T96" s="35">
        <f t="shared" si="7"/>
        <v>74</v>
      </c>
      <c r="U96" s="53">
        <f t="shared" si="2"/>
        <v>6.218855191180474E-9</v>
      </c>
    </row>
    <row r="97" spans="20:21">
      <c r="T97" s="35">
        <f t="shared" si="7"/>
        <v>75</v>
      </c>
      <c r="U97" s="53">
        <f t="shared" si="2"/>
        <v>1.0120466682596007E-9</v>
      </c>
    </row>
    <row r="98" spans="20:21">
      <c r="T98" s="35">
        <f t="shared" si="7"/>
        <v>76</v>
      </c>
      <c r="U98" s="53">
        <f t="shared" si="2"/>
        <v>1.4361872158607134E-10</v>
      </c>
    </row>
    <row r="99" spans="20:21">
      <c r="T99" s="35">
        <f t="shared" si="7"/>
        <v>77</v>
      </c>
      <c r="U99" s="53">
        <f t="shared" ref="U99:U102" si="9">IF(T99&lt;$C$15,((T99-12)/($C$15-12))^$U$32,EXP(-(((T99-$C$15)/$C$16)^$C$17)))</f>
        <v>1.7637567000573615E-11</v>
      </c>
    </row>
    <row r="100" spans="20:21">
      <c r="T100" s="35">
        <f t="shared" ref="T100:T102" si="10">T99+1</f>
        <v>78</v>
      </c>
      <c r="U100" s="53">
        <f t="shared" si="9"/>
        <v>1.8597731753764295E-12</v>
      </c>
    </row>
    <row r="101" spans="20:21">
      <c r="T101" s="35">
        <f t="shared" si="10"/>
        <v>79</v>
      </c>
      <c r="U101" s="53">
        <f t="shared" si="9"/>
        <v>1.6700493278966639E-13</v>
      </c>
    </row>
    <row r="102" spans="20:21">
      <c r="T102" s="35">
        <f t="shared" si="10"/>
        <v>80</v>
      </c>
      <c r="U102" s="53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workbookViewId="0">
      <pane ySplit="3" topLeftCell="A4" activePane="bottomLeft" state="frozen"/>
      <selection activeCell="F28" sqref="F28"/>
      <selection pane="bottomLeft" activeCell="F28" sqref="F28"/>
    </sheetView>
  </sheetViews>
  <sheetFormatPr baseColWidth="10" defaultRowHeight="16" x14ac:dyDescent="0"/>
  <cols>
    <col min="1" max="1" width="3.42578125" style="35" customWidth="1"/>
    <col min="2" max="2" width="29.5703125" style="35" customWidth="1"/>
    <col min="3" max="3" width="5.5703125" style="35" hidden="1" customWidth="1"/>
    <col min="4" max="4" width="2.5703125" style="35" customWidth="1"/>
    <col min="5" max="5" width="4.140625" style="35" customWidth="1"/>
    <col min="6" max="6" width="33.42578125" style="35" customWidth="1"/>
    <col min="7" max="7" width="6.7109375" style="35" hidden="1" customWidth="1"/>
    <col min="8" max="9" width="2.7109375" style="35" customWidth="1"/>
    <col min="10" max="10" width="18.5703125" style="35" customWidth="1"/>
    <col min="11" max="11" width="23" style="35" bestFit="1" customWidth="1"/>
    <col min="12" max="12" width="15" style="60" customWidth="1"/>
    <col min="13" max="13" width="10.7109375" style="35"/>
    <col min="14" max="14" width="21.42578125" style="35" customWidth="1"/>
    <col min="15" max="20" width="10.7109375" style="35"/>
    <col min="21" max="21" width="23" style="35" bestFit="1" customWidth="1"/>
    <col min="22" max="16384" width="10.7109375" style="35"/>
  </cols>
  <sheetData>
    <row r="1" spans="1:21" s="34" customFormat="1" ht="86" customHeight="1">
      <c r="A1" s="33" t="s">
        <v>298</v>
      </c>
      <c r="L1" s="55"/>
    </row>
    <row r="2" spans="1:21" s="39" customFormat="1" ht="7" customHeight="1">
      <c r="L2" s="56"/>
    </row>
    <row r="3" spans="1:21" s="57" customFormat="1" ht="7" customHeight="1">
      <c r="L3" s="58"/>
    </row>
    <row r="4" spans="1:21">
      <c r="K4" s="59">
        <v>42335.581932870373</v>
      </c>
    </row>
    <row r="8" spans="1:21" s="61" customFormat="1" ht="18">
      <c r="B8" s="62" t="s">
        <v>343</v>
      </c>
      <c r="C8" s="63"/>
      <c r="D8" s="63"/>
      <c r="E8" s="63"/>
      <c r="F8" s="62" t="s">
        <v>290</v>
      </c>
      <c r="G8" s="63"/>
      <c r="H8" s="63"/>
      <c r="I8" s="63"/>
      <c r="J8" s="62" t="s">
        <v>291</v>
      </c>
      <c r="K8" s="62"/>
    </row>
    <row r="9" spans="1:21">
      <c r="U9" s="56" t="s">
        <v>294</v>
      </c>
    </row>
    <row r="10" spans="1:21">
      <c r="B10" s="64" t="s">
        <v>292</v>
      </c>
      <c r="F10" s="64" t="s">
        <v>344</v>
      </c>
      <c r="J10" s="64" t="s">
        <v>302</v>
      </c>
      <c r="K10" s="64"/>
      <c r="U10" s="56" t="s">
        <v>304</v>
      </c>
    </row>
    <row r="11" spans="1:21">
      <c r="A11" s="60">
        <v>1</v>
      </c>
      <c r="B11" s="65" t="s">
        <v>344</v>
      </c>
      <c r="C11" s="35" t="b">
        <f>IF(B11="",FALSE,ISNA(VLOOKUP(B11,F:F,1,0)))</f>
        <v>0</v>
      </c>
      <c r="F11" s="66" t="s">
        <v>302</v>
      </c>
      <c r="G11" s="35" t="b">
        <f>IF(F11="",FALSE,ISNA(VLOOKUP(F11,J:M,1,0)))</f>
        <v>0</v>
      </c>
      <c r="J11" s="66" t="s">
        <v>299</v>
      </c>
      <c r="K11" s="67" t="s">
        <v>255</v>
      </c>
      <c r="U11" s="56" t="s">
        <v>300</v>
      </c>
    </row>
    <row r="12" spans="1:21">
      <c r="A12" s="60">
        <f>IF(B12="","",A11+1)</f>
        <v>2</v>
      </c>
      <c r="B12" s="65" t="s">
        <v>345</v>
      </c>
      <c r="C12" s="35" t="b">
        <f>IF(B12="",FALSE,ISNA(VLOOKUP(B12,F:F,1,0)))</f>
        <v>0</v>
      </c>
      <c r="F12" s="66" t="s">
        <v>303</v>
      </c>
      <c r="G12" s="35" t="b">
        <f t="shared" ref="G12:G14" si="0">IF(F12="",FALSE,ISNA(VLOOKUP(F12,J:M,1,0)))</f>
        <v>0</v>
      </c>
      <c r="J12" s="66" t="s">
        <v>293</v>
      </c>
      <c r="K12" s="67" t="s">
        <v>294</v>
      </c>
      <c r="U12" s="56" t="s">
        <v>305</v>
      </c>
    </row>
    <row r="13" spans="1:21">
      <c r="A13" s="60">
        <f t="shared" ref="A13:A18" si="1">IF(B13="","",A12+1)</f>
        <v>3</v>
      </c>
      <c r="B13" s="65" t="s">
        <v>346</v>
      </c>
      <c r="C13" s="35" t="b">
        <f>IF(B14="",FALSE,ISNA(VLOOKUP(B14,F:F,1,0)))</f>
        <v>0</v>
      </c>
      <c r="F13" s="66"/>
      <c r="G13" s="35" t="b">
        <f t="shared" si="0"/>
        <v>0</v>
      </c>
      <c r="J13" s="66" t="s">
        <v>295</v>
      </c>
      <c r="K13" s="67">
        <v>13</v>
      </c>
      <c r="U13" s="56" t="s">
        <v>386</v>
      </c>
    </row>
    <row r="14" spans="1:21">
      <c r="A14" s="60">
        <f t="shared" si="1"/>
        <v>4</v>
      </c>
      <c r="B14" s="65" t="s">
        <v>350</v>
      </c>
      <c r="C14" s="35" t="b">
        <f t="shared" ref="C14:C18" si="2">IF(B15="",FALSE,ISNA(VLOOKUP(B15,F:F,1,0)))</f>
        <v>0</v>
      </c>
      <c r="F14" s="66"/>
      <c r="G14" s="35" t="b">
        <f t="shared" si="0"/>
        <v>0</v>
      </c>
      <c r="J14" s="66" t="s">
        <v>296</v>
      </c>
      <c r="K14" s="67">
        <v>999</v>
      </c>
      <c r="U14" s="56" t="s">
        <v>306</v>
      </c>
    </row>
    <row r="15" spans="1:21">
      <c r="A15" s="60">
        <f t="shared" si="1"/>
        <v>5</v>
      </c>
      <c r="B15" s="65" t="s">
        <v>387</v>
      </c>
      <c r="C15" s="35" t="b">
        <f t="shared" si="2"/>
        <v>0</v>
      </c>
      <c r="J15" s="66" t="s">
        <v>297</v>
      </c>
      <c r="K15" s="68">
        <v>0.15</v>
      </c>
      <c r="U15" s="56" t="s">
        <v>307</v>
      </c>
    </row>
    <row r="16" spans="1:21">
      <c r="A16" s="60" t="str">
        <f t="shared" si="1"/>
        <v/>
      </c>
      <c r="B16" s="65"/>
      <c r="C16" s="35" t="b">
        <f t="shared" si="2"/>
        <v>0</v>
      </c>
    </row>
    <row r="17" spans="1:11">
      <c r="A17" s="60" t="str">
        <f t="shared" si="1"/>
        <v/>
      </c>
      <c r="B17" s="65"/>
      <c r="C17" s="35" t="b">
        <f t="shared" si="2"/>
        <v>0</v>
      </c>
      <c r="F17" s="64" t="s">
        <v>347</v>
      </c>
      <c r="J17" s="64" t="s">
        <v>303</v>
      </c>
      <c r="K17" s="64"/>
    </row>
    <row r="18" spans="1:11">
      <c r="A18" s="60" t="str">
        <f t="shared" si="1"/>
        <v/>
      </c>
      <c r="B18" s="65"/>
      <c r="C18" s="35" t="b">
        <f t="shared" si="2"/>
        <v>0</v>
      </c>
      <c r="F18" s="65" t="s">
        <v>302</v>
      </c>
      <c r="G18" s="35" t="b">
        <f>IF(F18="",FALSE,ISNA(VLOOKUP(F18,J:M,1,0)))</f>
        <v>0</v>
      </c>
      <c r="J18" s="66" t="s">
        <v>299</v>
      </c>
      <c r="K18" s="67" t="s">
        <v>262</v>
      </c>
    </row>
    <row r="19" spans="1:11">
      <c r="F19" s="65" t="s">
        <v>303</v>
      </c>
      <c r="G19" s="35" t="b">
        <f t="shared" ref="G19:G21" si="3">IF(F19="",FALSE,ISNA(VLOOKUP(F19,J:M,1,0)))</f>
        <v>0</v>
      </c>
      <c r="J19" s="66" t="s">
        <v>293</v>
      </c>
      <c r="K19" s="67" t="s">
        <v>304</v>
      </c>
    </row>
    <row r="20" spans="1:11">
      <c r="F20" s="65" t="s">
        <v>308</v>
      </c>
      <c r="G20" s="35" t="b">
        <f t="shared" si="3"/>
        <v>0</v>
      </c>
      <c r="J20" s="66" t="s">
        <v>295</v>
      </c>
      <c r="K20" s="67">
        <v>5</v>
      </c>
    </row>
    <row r="21" spans="1:11">
      <c r="F21" s="65"/>
      <c r="G21" s="35" t="b">
        <f t="shared" si="3"/>
        <v>0</v>
      </c>
      <c r="J21" s="66" t="s">
        <v>296</v>
      </c>
      <c r="K21" s="67">
        <v>999</v>
      </c>
    </row>
    <row r="22" spans="1:11">
      <c r="J22" s="66" t="s">
        <v>297</v>
      </c>
      <c r="K22" s="68">
        <v>0.01</v>
      </c>
    </row>
    <row r="23" spans="1:11">
      <c r="F23" s="64" t="s">
        <v>346</v>
      </c>
    </row>
    <row r="24" spans="1:11">
      <c r="F24" s="65" t="s">
        <v>302</v>
      </c>
      <c r="G24" s="35" t="b">
        <f>IF(F24="",FALSE,ISNA(VLOOKUP(F24,J:M,1,0)))</f>
        <v>0</v>
      </c>
      <c r="J24" s="64" t="s">
        <v>308</v>
      </c>
      <c r="K24" s="64"/>
    </row>
    <row r="25" spans="1:11">
      <c r="F25" s="65" t="s">
        <v>303</v>
      </c>
      <c r="G25" s="35" t="b">
        <f t="shared" ref="G25:G27" si="4">IF(F25="",FALSE,ISNA(VLOOKUP(F25,J:M,1,0)))</f>
        <v>0</v>
      </c>
      <c r="J25" s="65" t="s">
        <v>299</v>
      </c>
      <c r="K25" s="69" t="s">
        <v>262</v>
      </c>
    </row>
    <row r="26" spans="1:11">
      <c r="F26" s="65" t="s">
        <v>309</v>
      </c>
      <c r="G26" s="35" t="b">
        <f t="shared" si="4"/>
        <v>0</v>
      </c>
      <c r="J26" s="65" t="s">
        <v>293</v>
      </c>
      <c r="K26" s="69" t="s">
        <v>304</v>
      </c>
    </row>
    <row r="27" spans="1:11">
      <c r="F27" s="65"/>
      <c r="G27" s="35" t="b">
        <f t="shared" si="4"/>
        <v>0</v>
      </c>
      <c r="J27" s="65" t="s">
        <v>295</v>
      </c>
      <c r="K27" s="69">
        <v>30</v>
      </c>
    </row>
    <row r="28" spans="1:11">
      <c r="J28" s="65" t="s">
        <v>296</v>
      </c>
      <c r="K28" s="69">
        <v>50</v>
      </c>
    </row>
    <row r="29" spans="1:11">
      <c r="F29" s="64" t="s">
        <v>345</v>
      </c>
      <c r="J29" s="65" t="s">
        <v>297</v>
      </c>
      <c r="K29" s="70">
        <v>0.8</v>
      </c>
    </row>
    <row r="30" spans="1:11">
      <c r="F30" s="65" t="s">
        <v>302</v>
      </c>
      <c r="G30" s="35" t="b">
        <f>IF(F30="",FALSE,ISNA(VLOOKUP(F30,J:M,1,0)))</f>
        <v>0</v>
      </c>
    </row>
    <row r="31" spans="1:11">
      <c r="F31" s="65" t="s">
        <v>303</v>
      </c>
      <c r="G31" s="35" t="b">
        <f t="shared" ref="G31:G33" si="5">IF(F31="",FALSE,ISNA(VLOOKUP(F31,J:M,1,0)))</f>
        <v>0</v>
      </c>
      <c r="J31" s="64" t="s">
        <v>309</v>
      </c>
      <c r="K31" s="64"/>
    </row>
    <row r="32" spans="1:11">
      <c r="F32" s="65" t="s">
        <v>348</v>
      </c>
      <c r="G32" s="35" t="b">
        <f t="shared" si="5"/>
        <v>0</v>
      </c>
      <c r="J32" s="65" t="s">
        <v>299</v>
      </c>
      <c r="K32" s="69" t="s">
        <v>262</v>
      </c>
    </row>
    <row r="33" spans="5:12">
      <c r="F33" s="65"/>
      <c r="G33" s="35" t="b">
        <f t="shared" si="5"/>
        <v>0</v>
      </c>
      <c r="J33" s="65" t="s">
        <v>293</v>
      </c>
      <c r="K33" s="69" t="s">
        <v>300</v>
      </c>
    </row>
    <row r="34" spans="5:12">
      <c r="J34" s="65" t="s">
        <v>295</v>
      </c>
      <c r="K34" s="69">
        <v>30</v>
      </c>
      <c r="L34" s="60" t="s">
        <v>382</v>
      </c>
    </row>
    <row r="35" spans="5:12">
      <c r="F35" s="64" t="s">
        <v>387</v>
      </c>
      <c r="J35" s="65" t="s">
        <v>296</v>
      </c>
      <c r="K35" s="69">
        <v>50</v>
      </c>
      <c r="L35" s="60" t="s">
        <v>381</v>
      </c>
    </row>
    <row r="36" spans="5:12">
      <c r="F36" s="65" t="s">
        <v>302</v>
      </c>
      <c r="G36" s="35" t="b">
        <f>IF(F36="",FALSE,ISNA(VLOOKUP(F36,J:M,1,0)))</f>
        <v>0</v>
      </c>
      <c r="J36" s="65" t="s">
        <v>297</v>
      </c>
      <c r="K36" s="70">
        <v>0.05</v>
      </c>
    </row>
    <row r="37" spans="5:12">
      <c r="F37" s="65" t="s">
        <v>303</v>
      </c>
      <c r="G37" s="35" t="b">
        <f t="shared" ref="G37:G39" si="6">IF(F37="",FALSE,ISNA(VLOOKUP(F37,J:M,1,0)))</f>
        <v>0</v>
      </c>
    </row>
    <row r="38" spans="5:12">
      <c r="F38" s="65" t="s">
        <v>388</v>
      </c>
      <c r="G38" s="35" t="b">
        <f t="shared" si="6"/>
        <v>0</v>
      </c>
      <c r="J38" s="64" t="s">
        <v>348</v>
      </c>
      <c r="K38" s="64"/>
    </row>
    <row r="39" spans="5:12">
      <c r="F39" s="65"/>
      <c r="G39" s="35" t="b">
        <f t="shared" si="6"/>
        <v>0</v>
      </c>
      <c r="J39" s="65" t="s">
        <v>299</v>
      </c>
      <c r="K39" s="69" t="s">
        <v>262</v>
      </c>
    </row>
    <row r="40" spans="5:12">
      <c r="J40" s="65" t="s">
        <v>293</v>
      </c>
      <c r="K40" s="69" t="s">
        <v>294</v>
      </c>
    </row>
    <row r="41" spans="5:12">
      <c r="E41" s="71"/>
      <c r="F41" s="64" t="s">
        <v>350</v>
      </c>
      <c r="J41" s="65" t="s">
        <v>295</v>
      </c>
      <c r="K41" s="69">
        <v>30</v>
      </c>
    </row>
    <row r="42" spans="5:12">
      <c r="F42" s="65" t="s">
        <v>302</v>
      </c>
      <c r="G42" s="35" t="b">
        <f>IF(F42="",FALSE,ISNA(VLOOKUP(F42,J:M,1,0)))</f>
        <v>0</v>
      </c>
      <c r="J42" s="65" t="s">
        <v>296</v>
      </c>
      <c r="K42" s="69">
        <v>50</v>
      </c>
    </row>
    <row r="43" spans="5:12">
      <c r="F43" s="65" t="s">
        <v>303</v>
      </c>
      <c r="G43" s="35" t="b">
        <f t="shared" ref="G43:G45" si="7">IF(F43="",FALSE,ISNA(VLOOKUP(F43,J:M,1,0)))</f>
        <v>0</v>
      </c>
      <c r="J43" s="65" t="s">
        <v>297</v>
      </c>
      <c r="K43" s="70">
        <v>0.3</v>
      </c>
    </row>
    <row r="44" spans="5:12">
      <c r="F44" s="65" t="s">
        <v>349</v>
      </c>
      <c r="G44" s="35" t="b">
        <f t="shared" si="7"/>
        <v>0</v>
      </c>
    </row>
    <row r="45" spans="5:12">
      <c r="F45" s="65"/>
      <c r="G45" s="35" t="b">
        <f t="shared" si="7"/>
        <v>0</v>
      </c>
      <c r="J45" s="64" t="s">
        <v>388</v>
      </c>
      <c r="K45" s="64"/>
    </row>
    <row r="46" spans="5:12">
      <c r="J46" s="65" t="s">
        <v>299</v>
      </c>
      <c r="K46" s="69" t="s">
        <v>262</v>
      </c>
    </row>
    <row r="47" spans="5:12">
      <c r="J47" s="65" t="s">
        <v>293</v>
      </c>
      <c r="K47" s="69" t="s">
        <v>386</v>
      </c>
    </row>
    <row r="48" spans="5:12">
      <c r="J48" s="65" t="s">
        <v>295</v>
      </c>
      <c r="K48" s="69">
        <v>30</v>
      </c>
    </row>
    <row r="49" spans="9:14">
      <c r="J49" s="65" t="s">
        <v>296</v>
      </c>
      <c r="K49" s="69">
        <v>50</v>
      </c>
    </row>
    <row r="50" spans="9:14">
      <c r="J50" s="65" t="s">
        <v>297</v>
      </c>
      <c r="K50" s="70">
        <v>0.2</v>
      </c>
    </row>
    <row r="52" spans="9:14">
      <c r="I52" s="72"/>
      <c r="J52" s="64" t="s">
        <v>349</v>
      </c>
      <c r="K52" s="64"/>
    </row>
    <row r="53" spans="9:14">
      <c r="J53" s="65" t="s">
        <v>299</v>
      </c>
      <c r="K53" s="69" t="s">
        <v>262</v>
      </c>
      <c r="N53" s="35" t="s">
        <v>262</v>
      </c>
    </row>
    <row r="54" spans="9:14">
      <c r="J54" s="65" t="s">
        <v>293</v>
      </c>
      <c r="K54" s="69" t="s">
        <v>307</v>
      </c>
      <c r="N54" s="35" t="s">
        <v>307</v>
      </c>
    </row>
    <row r="55" spans="9:14">
      <c r="J55" s="65" t="s">
        <v>295</v>
      </c>
      <c r="K55" s="69">
        <v>30</v>
      </c>
      <c r="N55" s="35">
        <v>30</v>
      </c>
    </row>
    <row r="56" spans="9:14">
      <c r="J56" s="65" t="s">
        <v>296</v>
      </c>
      <c r="K56" s="69">
        <v>50</v>
      </c>
      <c r="N56" s="35">
        <v>50</v>
      </c>
    </row>
    <row r="57" spans="9:14">
      <c r="J57" s="65" t="s">
        <v>297</v>
      </c>
      <c r="K57" s="70">
        <v>0.6</v>
      </c>
      <c r="N57" s="35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2016-01-08T15:37:21Z</dcterms:modified>
</cp:coreProperties>
</file>