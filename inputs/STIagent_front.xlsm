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0560" yWindow="240" windowWidth="28320" windowHeight="28120" tabRatio="500" activeTab="2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<sst xmlns="http://schemas.openxmlformats.org/spreadsheetml/2006/main" count="478" uniqueCount="390">
  <si>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</si>
  <si>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</si>
  <si>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</si>
  <si>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</si>
  <si>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</si>
  <si>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</si>
  <si>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</si>
  <si>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</si>
  <si>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</si>
  <si>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</si>
  <si>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</si>
  <si>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</si>
  <si>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</si>
  <si>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</si>
  <si>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</si>
  <si>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</si>
  <si>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</si>
  <si>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</si>
  <si>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</si>
  <si>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</si>
  <si>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</si>
  <si>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</si>
  <si>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</si>
  <si>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</si>
  <si>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</si>
  <si>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</si>
  <si>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</si>
  <si>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</si>
  <si>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</si>
  <si>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</si>
  <si>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</si>
  <si>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</si>
  <si>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</si>
  <si>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</si>
  <si>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</si>
  <si>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</si>
  <si>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</si>
  <si>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</si>
  <si>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</si>
  <si>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</si>
  <si>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</si>
  <si>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</si>
  <si>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</si>
  <si>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</si>
  <si>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</si>
  <si>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</si>
  <si>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</si>
  <si>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</si>
  <si>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</si>
  <si>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</si>
  <si>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</si>
  <si>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</si>
  <si>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</si>
  <si>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</si>
  <si>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</si>
  <si>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</si>
  <si>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</si>
  <si>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</si>
  <si>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</si>
  <si>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</si>
  <si>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</si>
  <si>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</si>
  <si>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</si>
  <si>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</si>
  <si>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</si>
  <si>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</si>
  <si>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</si>
  <si>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</si>
  <si>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</si>
  <si>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</si>
  <si>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</si>
  <si>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</si>
  <si>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</si>
  <si>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</si>
  <si>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</si>
  <si>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</si>
  <si>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</si>
  <si>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</si>
  <si>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</si>
  <si>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</si>
  <si>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</si>
  <si>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</si>
  <si>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</si>
  <si>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</si>
  <si>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</si>
  <si>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</si>
  <si>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</si>
  <si>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</si>
  <si>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</si>
  <si>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</si>
  <si>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</si>
  <si>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</si>
  <si>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</si>
  <si>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</si>
  <si>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</si>
  <si>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</si>
  <si>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</si>
  <si>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</si>
  <si>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</si>
  <si>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</si>
  <si>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</si>
  <si>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</si>
  <si>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</si>
  <si>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</si>
  <si>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</si>
  <si>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</si>
  <si>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</si>
  <si>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</si>
  <si>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</si>
  <si>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</si>
  <si>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</si>
  <si>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</si>
  <si>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</si>
  <si>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</si>
  <si>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</si>
  <si>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</si>
  <si>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</si>
  <si>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</si>
  <si>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</si>
  <si>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</si>
  <si>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</si>
  <si>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</si>
  <si>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</si>
  <si>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</si>
  <si>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</si>
  <si>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</si>
  <si>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</si>
  <si>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</si>
  <si>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</si>
  <si>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</si>
  <si>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</si>
  <si>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</si>
  <si>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</si>
  <si>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</si>
  <si>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</si>
  <si>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</si>
  <si>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</si>
  <si>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</si>
  <si>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</si>
  <si>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</si>
  <si>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</si>
  <si>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</si>
  <si>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</si>
  <si>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</si>
  <si>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</si>
  <si>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</si>
  <si>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</si>
  <si>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</si>
  <si>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</si>
  <si>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</si>
  <si>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</si>
  <si>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</si>
  <si>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</si>
  <si>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</si>
  <si>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</si>
  <si>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</si>
  <si>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</si>
  <si>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</si>
  <si>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</si>
  <si>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</si>
  <si>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</si>
  <si>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</si>
  <si>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</si>
  <si>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</si>
  <si>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</si>
  <si>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</si>
  <si>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</si>
  <si>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</si>
  <si>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</si>
  <si>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</si>
  <si>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</si>
  <si>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</si>
  <si>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</si>
  <si>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</si>
  <si>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</si>
  <si>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</si>
  <si>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</si>
  <si>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</si>
  <si>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</si>
  <si>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</si>
  <si>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</si>
  <si>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</si>
  <si>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</si>
  <si>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</si>
  <si>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</si>
  <si>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</si>
  <si>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</si>
  <si>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</si>
  <si>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</si>
  <si>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</si>
  <si>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</si>
  <si>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</si>
  <si>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</si>
  <si>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</si>
  <si>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</si>
  <si>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</si>
  <si>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</si>
  <si>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</si>
  <si>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</si>
  <si>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</si>
  <si>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</si>
  <si>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</si>
  <si>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</si>
  <si>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</si>
  <si>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</si>
  <si>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</si>
  <si>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</si>
  <si>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</si>
  <si>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</si>
  <si>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</si>
  <si>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</si>
  <si>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</si>
  <si>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</si>
  <si>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</si>
  <si>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</si>
  <si>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</si>
  <si>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</si>
  <si>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</si>
  <si>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</si>
  <si>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</si>
  <si>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</si>
  <si>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</si>
  <si>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</si>
  <si>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</si>
  <si>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</si>
  <si>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</si>
  <si>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</si>
  <si>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</si>
  <si>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</si>
  <si>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</si>
  <si>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</si>
  <si>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</si>
  <si>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</si>
  <si>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</si>
  <si>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</si>
  <si>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</si>
  <si>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</si>
  <si>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</si>
  <si>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</si>
  <si>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</si>
  <si>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</si>
  <si>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</si>
  <si>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</si>
  <si>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</si>
  <si>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</si>
  <si>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</si>
  <si>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</si>
  <si>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</si>
  <si>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</si>
  <si>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</si>
  <si>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</si>
  <si>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</si>
  <si>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</si>
  <si>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</si>
  <si>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</si>
  <si>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</si>
  <si>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</si>
  <si>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</si>
  <si>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</si>
  <si>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</si>
  <si>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</si>
  <si>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</si>
  <si>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</si>
  <si>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</si>
  <si>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</si>
  <si>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</si>
  <si>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</si>
  <si>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</si>
  <si>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</si>
  <si>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</si>
  <si>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</si>
  <si>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</si>
  <si>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</si>
  <si>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</si>
  <si>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</si>
  <si>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</si>
  <si>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</si>
  <si>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</si>
  <si>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</si>
  <si>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</si>
  <si>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</si>
  <si>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</si>
  <si>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</si>
  <si>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</si>
  <si>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</si>
  <si>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</si>
  <si>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</si>
  <si>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</si>
  <si>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</si>
  <si>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</si>
  <si>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</si>
  <si>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</si>
  <si>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</si>
  <si>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</si>
  <si>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</si>
  <si>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</si>
  <si>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</si>
  <si>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</si>
  <si>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</si>
  <si>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</si>
  <si>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</si>
  <si>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</si>
  <si>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</si>
  <si>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</si>
  <si>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</si>
  <si>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</si>
  <si>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</si>
  <si>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</si>
  <si>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</si>
  <si>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</si>
  <si>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</si>
  <si>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</si>
  <si>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</si>
  <si>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</si>
  <si>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</si>
  <si>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</si>
  <si>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</si>
  <si>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</si>
  <si>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</si>
  <si>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</si>
  <si>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</si>
  <si>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</si>
  <si>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</si>
  <si>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</si>
  <si>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</si>
  <si>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</si>
  <si>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</si>
  <si>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</si>
  <si>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</si>
  <si>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</si>
  <si>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</si>
  <si>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</si>
  <si>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</si>
  <si>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</si>
  <si>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</si>
  <si>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</si>
  <si>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</si>
  <si>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</si>
  <si>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</si>
  <si>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</si>
  <si>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</si>
  <si>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</si>
  <si>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</si>
  <si>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</si>
  <si>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</si>
  <si>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</si>
  <si>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</si>
  <si>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</si>
  <si>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</si>
  <si>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</si>
  <si>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</si>
  <si>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</si>
  <si>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</si>
  <si>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</si>
  <si>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</si>
  <si>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</si>
  <si>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</si>
  <si>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</si>
  <si>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</si>
  <si>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</si>
  <si>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</si>
  <si>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</si>
  <si>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</si>
  <si>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</si>
  <si>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</si>
  <si>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</si>
  <si>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</si>
  <si>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</si>
  <si>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</si>
  <si>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</si>
  <si>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</si>
  <si>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</si>
  <si>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</si>
  <si>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</si>
  <si>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</si>
  <si>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</si>
  <si>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</si>
  <si>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</si>
  <si>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</si>
  <si>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</si>
  <si>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</si>
  <si>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</si>
  <si>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</si>
  <si>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</si>
  <si>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</si>
  <si>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</si>
  <si>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</si>
  <si>
    <t>vaccination_highRisk</t>
  </si>
  <si>
    <t>in_scenario_VaxHiRisk.csv</t>
  </si>
  <si>
    <t>interv_Tp_vaxHiRisk.csv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</si>
</sst>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906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90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3855" builtinId="9" hidden="1"/>
    <cellStyle name="Followed Hyperlink" xfId="3857" builtinId="9" hidden="1"/>
    <cellStyle name="Followed Hyperlink" xfId="3859" builtinId="9" hidden="1"/>
    <cellStyle name="Followed Hyperlink" xfId="3861" builtinId="9" hidden="1"/>
    <cellStyle name="Followed Hyperlink" xfId="3863" builtinId="9" hidden="1"/>
    <cellStyle name="Followed Hyperlink" xfId="3865" builtinId="9" hidden="1"/>
    <cellStyle name="Followed Hyperlink" xfId="3867" builtinId="9" hidden="1"/>
    <cellStyle name="Followed Hyperlink" xfId="3869" builtinId="9" hidden="1"/>
    <cellStyle name="Followed Hyperlink" xfId="3871" builtinId="9" hidden="1"/>
    <cellStyle name="Followed Hyperlink" xfId="3873" builtinId="9" hidden="1"/>
    <cellStyle name="Followed Hyperlink" xfId="3875" builtinId="9" hidden="1"/>
    <cellStyle name="Followed Hyperlink" xfId="3877" builtinId="9" hidden="1"/>
    <cellStyle name="Followed Hyperlink" xfId="3879" builtinId="9" hidden="1"/>
    <cellStyle name="Followed Hyperlink" xfId="3881" builtinId="9" hidden="1"/>
    <cellStyle name="Followed Hyperlink" xfId="3883" builtinId="9" hidden="1"/>
    <cellStyle name="Followed Hyperlink" xfId="3885" builtinId="9" hidden="1"/>
    <cellStyle name="Followed Hyperlink" xfId="3887" builtinId="9" hidden="1"/>
    <cellStyle name="Followed Hyperlink" xfId="3889" builtinId="9" hidden="1"/>
    <cellStyle name="Followed Hyperlink" xfId="3891" builtinId="9" hidden="1"/>
    <cellStyle name="Followed Hyperlink" xfId="3893" builtinId="9" hidden="1"/>
    <cellStyle name="Followed Hyperlink" xfId="3895" builtinId="9" hidden="1"/>
    <cellStyle name="Followed Hyperlink" xfId="3897" builtinId="9" hidden="1"/>
    <cellStyle name="Followed Hyperlink" xfId="3899" builtinId="9" hidden="1"/>
    <cellStyle name="Followed Hyperlink" xfId="3901" builtinId="9" hidden="1"/>
    <cellStyle name="Followed Hyperlink" xfId="3903" builtinId="9" hidden="1"/>
    <cellStyle name="Followed Hyperlink" xfId="390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3200552"/>
        <c:axId val="2073202472"/>
      </c:barChart>
      <c:catAx>
        <c:axId val="20732005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3202472"/>
        <c:crosses val="autoZero"/>
        <c:auto val="1"/>
        <c:lblAlgn val="ctr"/>
        <c:lblOffset val="100"/>
        <c:noMultiLvlLbl val="0"/>
      </c:catAx>
      <c:valAx>
        <c:axId val="207320247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320055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634008"/>
        <c:axId val="2078637048"/>
      </c:lineChart>
      <c:catAx>
        <c:axId val="2078634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8637048"/>
        <c:crosses val="autoZero"/>
        <c:auto val="1"/>
        <c:lblAlgn val="ctr"/>
        <c:lblOffset val="100"/>
        <c:noMultiLvlLbl val="0"/>
      </c:catAx>
      <c:valAx>
        <c:axId val="2078637048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863400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672280"/>
        <c:axId val="2078675320"/>
      </c:lineChart>
      <c:catAx>
        <c:axId val="207867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8675320"/>
        <c:crosses val="autoZero"/>
        <c:auto val="1"/>
        <c:lblAlgn val="ctr"/>
        <c:lblOffset val="100"/>
        <c:noMultiLvlLbl val="0"/>
      </c:catAx>
      <c:valAx>
        <c:axId val="2078675320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78672280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700632"/>
        <c:axId val="2078703592"/>
      </c:scatterChart>
      <c:valAx>
        <c:axId val="207870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8703592"/>
        <c:crosses val="autoZero"/>
        <c:crossBetween val="midCat"/>
      </c:valAx>
      <c:valAx>
        <c:axId val="2078703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7006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736840"/>
        <c:axId val="2078739880"/>
      </c:lineChart>
      <c:catAx>
        <c:axId val="2078736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8739880"/>
        <c:crosses val="autoZero"/>
        <c:auto val="1"/>
        <c:lblAlgn val="ctr"/>
        <c:lblOffset val="100"/>
        <c:noMultiLvlLbl val="0"/>
      </c:catAx>
      <c:valAx>
        <c:axId val="20787398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8736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788312"/>
        <c:axId val="2078791336"/>
      </c:scatterChart>
      <c:valAx>
        <c:axId val="207878831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78791336"/>
        <c:crosses val="autoZero"/>
        <c:crossBetween val="midCat"/>
        <c:majorUnit val="1.0"/>
      </c:valAx>
      <c:valAx>
        <c:axId val="207879133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787883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124584"/>
        <c:axId val="2073121624"/>
      </c:scatterChart>
      <c:valAx>
        <c:axId val="207312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121624"/>
        <c:crosses val="autoZero"/>
        <c:crossBetween val="midCat"/>
      </c:valAx>
      <c:valAx>
        <c:axId val="20731216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12458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95720"/>
        <c:axId val="2073092696"/>
      </c:scatterChart>
      <c:valAx>
        <c:axId val="2073095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092696"/>
        <c:crosses val="autoZero"/>
        <c:crossBetween val="midCat"/>
      </c:valAx>
      <c:valAx>
        <c:axId val="207309269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309572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065736"/>
        <c:axId val="2073062776"/>
      </c:lineChart>
      <c:catAx>
        <c:axId val="2073065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3062776"/>
        <c:crosses val="autoZero"/>
        <c:auto val="1"/>
        <c:lblAlgn val="ctr"/>
        <c:lblOffset val="100"/>
        <c:noMultiLvlLbl val="0"/>
      </c:catAx>
      <c:valAx>
        <c:axId val="207306277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06573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036296"/>
        <c:axId val="2079513832"/>
      </c:scatterChart>
      <c:valAx>
        <c:axId val="2073036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513832"/>
        <c:crosses val="autoZero"/>
        <c:crossBetween val="midCat"/>
      </c:valAx>
      <c:valAx>
        <c:axId val="207951383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303629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9544136"/>
        <c:axId val="2079547176"/>
      </c:barChart>
      <c:catAx>
        <c:axId val="20795441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79547176"/>
        <c:crosses val="autoZero"/>
        <c:auto val="1"/>
        <c:lblAlgn val="ctr"/>
        <c:lblOffset val="100"/>
        <c:noMultiLvlLbl val="0"/>
      </c:catAx>
      <c:valAx>
        <c:axId val="207954717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7954413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618408"/>
        <c:axId val="2079623608"/>
      </c:scatterChart>
      <c:valAx>
        <c:axId val="2079618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79623608"/>
        <c:crosses val="autoZero"/>
        <c:crossBetween val="midCat"/>
      </c:valAx>
      <c:valAx>
        <c:axId val="207962360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7961840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FFFF00"/>
  </sheetPr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42334.857268518521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383</v>
      </c>
      <c r="G10" s="4">
        <v>1500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384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0.3</v>
      </c>
      <c r="N11" s="22">
        <v>0.3</v>
      </c>
      <c r="O11" s="22">
        <v>0.3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385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workbookViewId="0">
      <selection activeCell="F3" sqref="F3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4">
        <v>0.54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55">
        <v>0.85</v>
      </c>
      <c r="E24" s="25">
        <v>0.82</v>
      </c>
      <c r="F24" s="1"/>
    </row>
    <row r="25" spans="3:23">
      <c r="C25" s="3" t="s">
        <v>32</v>
      </c>
      <c r="D25" s="55">
        <v>0.85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tabSelected="1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42346.524895833332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A3" workbookViewId="0">
      <selection activeCell="C38" sqref="C3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42327.967268518521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360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351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352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353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354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355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356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357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358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359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371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372</v>
      </c>
      <c r="L29" s="4">
        <v>0.05</v>
      </c>
      <c r="M29" s="1" t="s">
        <v>386</v>
      </c>
    </row>
    <row r="30" spans="2:13">
      <c r="B30" s="18" t="s">
        <v>361</v>
      </c>
      <c r="C30" s="19">
        <v>0.3</v>
      </c>
      <c r="H30" s="5"/>
      <c r="I30" s="5"/>
      <c r="K30" s="3" t="s">
        <v>373</v>
      </c>
      <c r="L30" s="4">
        <v>0.999</v>
      </c>
    </row>
    <row r="31" spans="2:13">
      <c r="B31" s="18"/>
      <c r="C31" s="19"/>
      <c r="K31" s="3" t="s">
        <v>374</v>
      </c>
      <c r="L31" s="4">
        <v>0.999</v>
      </c>
    </row>
    <row r="32" spans="2:13">
      <c r="B32" s="18" t="s">
        <v>174</v>
      </c>
      <c r="C32" s="19">
        <v>0.45</v>
      </c>
      <c r="K32" s="3" t="s">
        <v>375</v>
      </c>
      <c r="L32" s="4">
        <v>0.999</v>
      </c>
    </row>
    <row r="33" spans="2:12">
      <c r="B33" s="18" t="s">
        <v>175</v>
      </c>
      <c r="C33" s="19">
        <v>0.9</v>
      </c>
      <c r="K33" s="3" t="s">
        <v>376</v>
      </c>
      <c r="L33" s="4">
        <v>0.999</v>
      </c>
    </row>
    <row r="34" spans="2:12">
      <c r="B34" s="18" t="s">
        <v>176</v>
      </c>
      <c r="C34" s="19">
        <v>1</v>
      </c>
      <c r="K34" s="3" t="s">
        <v>377</v>
      </c>
      <c r="L34" s="4">
        <v>0.999</v>
      </c>
    </row>
    <row r="35" spans="2:12">
      <c r="B35" s="18" t="s">
        <v>177</v>
      </c>
      <c r="C35" s="19">
        <v>0.15</v>
      </c>
      <c r="K35" s="3" t="s">
        <v>378</v>
      </c>
      <c r="L35" s="4">
        <v>0.999</v>
      </c>
    </row>
    <row r="36" spans="2:12">
      <c r="B36" s="18" t="s">
        <v>178</v>
      </c>
      <c r="C36" s="19">
        <v>0.15</v>
      </c>
      <c r="K36" s="3" t="s">
        <v>379</v>
      </c>
      <c r="L36" s="4">
        <v>0.999</v>
      </c>
    </row>
    <row r="37" spans="2:12">
      <c r="B37" s="18" t="s">
        <v>179</v>
      </c>
      <c r="C37" s="19">
        <v>0.85</v>
      </c>
      <c r="K37" s="3" t="s">
        <v>380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366</v>
      </c>
      <c r="C59" s="19">
        <v>0.9</v>
      </c>
      <c r="D59" s="65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362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363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364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3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365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367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368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369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4" t="s">
        <v>246</v>
      </c>
      <c r="C168" s="64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4" t="s">
        <v>247</v>
      </c>
      <c r="C169" s="64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4" t="s">
        <v>248</v>
      </c>
      <c r="C170" s="64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4" t="s">
        <v>249</v>
      </c>
      <c r="C171" s="64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4" t="s">
        <v>250</v>
      </c>
      <c r="C172" s="64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4" t="s">
        <v>251</v>
      </c>
      <c r="C173" s="64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4" t="s">
        <v>252</v>
      </c>
      <c r="C174" s="64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4" t="s">
        <v>253</v>
      </c>
      <c r="C175" s="64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4" t="s">
        <v>254</v>
      </c>
      <c r="C176" s="64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4" t="s">
        <v>370</v>
      </c>
      <c r="C177" s="64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4"/>
      <c r="C178" s="64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4"/>
      <c r="C179" s="64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4"/>
      <c r="C180" s="64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4"/>
      <c r="C181" s="64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4"/>
      <c r="C182" s="64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4"/>
      <c r="C183" s="64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4"/>
      <c r="C184" s="64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4"/>
      <c r="C185" s="64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4"/>
      <c r="C186" s="64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4"/>
      <c r="C187" s="64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4"/>
      <c r="C188" s="64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4"/>
      <c r="C189" s="64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4"/>
      <c r="C190" s="64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4"/>
      <c r="C191" s="64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4"/>
      <c r="C192" s="64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4"/>
      <c r="C193" s="64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showRuler="0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42335.581932870373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345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387</v>
      </c>
    </row>
    <row r="14" spans="1:21">
      <c r="A14" s="29">
        <f t="shared" si="1"/>
        <v>4</v>
      </c>
      <c r="B14" s="9" t="s">
        <v>350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306</v>
      </c>
    </row>
    <row r="15" spans="1:21">
      <c r="A15" s="29">
        <f t="shared" si="1"/>
        <v>5</v>
      </c>
      <c r="B15" s="9" t="s">
        <v>388</v>
      </c>
      <c r="C15" s="15" t="b">
        <f t="shared" si="2"/>
        <v>0</v>
      </c>
      <c r="G15" s="15"/>
      <c r="J15" s="23" t="s">
        <v>297</v>
      </c>
      <c r="K15" s="58">
        <v>0.15</v>
      </c>
      <c r="U15" s="27" t="s">
        <v>307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5:12">
      <c r="F33" s="9"/>
      <c r="G33" s="15" t="b">
        <f t="shared" si="5"/>
        <v>0</v>
      </c>
      <c r="J33" s="9" t="s">
        <v>293</v>
      </c>
      <c r="K33" s="10" t="s">
        <v>300</v>
      </c>
    </row>
    <row r="34" spans="5:12">
      <c r="G34" s="15"/>
      <c r="J34" s="9" t="s">
        <v>295</v>
      </c>
      <c r="K34" s="10">
        <v>30</v>
      </c>
      <c r="L34" s="29" t="s">
        <v>382</v>
      </c>
    </row>
    <row r="35" spans="5:12">
      <c r="F35" s="8" t="s">
        <v>388</v>
      </c>
      <c r="J35" s="9" t="s">
        <v>296</v>
      </c>
      <c r="K35" s="10">
        <v>50</v>
      </c>
      <c r="L35" s="29" t="s">
        <v>381</v>
      </c>
    </row>
    <row r="36" spans="5:12">
      <c r="F36" s="9" t="s">
        <v>302</v>
      </c>
      <c r="G36" s="15" t="b">
        <f>IF(F36="",FALSE,ISNA(VLOOKUP(F36,J:M,1,0)))</f>
        <v>0</v>
      </c>
      <c r="J36" s="9" t="s">
        <v>297</v>
      </c>
      <c r="K36" s="60">
        <v>0.05</v>
      </c>
    </row>
    <row r="37" spans="5:12">
      <c r="F37" s="9" t="s">
        <v>303</v>
      </c>
      <c r="G37" s="15" t="b">
        <f t="shared" ref="G37:G39" si="6">IF(F37="",FALSE,ISNA(VLOOKUP(F37,J:M,1,0)))</f>
        <v>0</v>
      </c>
    </row>
    <row r="38" spans="5:12">
      <c r="F38" s="9" t="s">
        <v>389</v>
      </c>
      <c r="G38" s="15" t="b">
        <f t="shared" si="6"/>
        <v>0</v>
      </c>
      <c r="J38" s="8" t="s">
        <v>348</v>
      </c>
      <c r="K38" s="8"/>
    </row>
    <row r="39" spans="5:12">
      <c r="F39" s="9"/>
      <c r="G39" s="15" t="b">
        <f t="shared" si="6"/>
        <v>0</v>
      </c>
      <c r="J39" s="9" t="s">
        <v>299</v>
      </c>
      <c r="K39" s="10" t="s">
        <v>262</v>
      </c>
    </row>
    <row r="40" spans="5:12">
      <c r="G40" s="15"/>
      <c r="J40" s="9" t="s">
        <v>293</v>
      </c>
      <c r="K40" s="10" t="s">
        <v>294</v>
      </c>
    </row>
    <row r="41" spans="5:12">
      <c r="E41" s="61"/>
      <c r="F41" s="8" t="s">
        <v>350</v>
      </c>
      <c r="J41" s="9" t="s">
        <v>295</v>
      </c>
      <c r="K41" s="10">
        <v>30</v>
      </c>
    </row>
    <row r="42" spans="5:12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5:12">
      <c r="F43" s="9" t="s">
        <v>303</v>
      </c>
      <c r="G43" s="15" t="b">
        <f t="shared" ref="G43:G45" si="7">IF(F43="",FALSE,ISNA(VLOOKUP(F43,J:M,1,0)))</f>
        <v>0</v>
      </c>
      <c r="J43" s="9" t="s">
        <v>297</v>
      </c>
      <c r="K43" s="60">
        <v>0.3</v>
      </c>
    </row>
    <row r="44" spans="5:12">
      <c r="F44" s="9" t="s">
        <v>349</v>
      </c>
      <c r="G44" s="15" t="b">
        <f t="shared" si="7"/>
        <v>0</v>
      </c>
    </row>
    <row r="45" spans="5:12">
      <c r="F45" s="9"/>
      <c r="G45" s="15" t="b">
        <f t="shared" si="7"/>
        <v>0</v>
      </c>
      <c r="J45" s="8" t="s">
        <v>389</v>
      </c>
      <c r="K45" s="8"/>
    </row>
    <row r="46" spans="5:12">
      <c r="G46" s="15"/>
      <c r="J46" s="9" t="s">
        <v>299</v>
      </c>
      <c r="K46" s="10" t="s">
        <v>262</v>
      </c>
    </row>
    <row r="47" spans="5:12">
      <c r="J47" s="9" t="s">
        <v>293</v>
      </c>
      <c r="K47" s="10" t="s">
        <v>387</v>
      </c>
    </row>
    <row r="48" spans="5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0">
        <v>0.2</v>
      </c>
    </row>
    <row r="52" spans="9:14">
      <c r="I52" s="62"/>
      <c r="J52" s="8" t="s">
        <v>349</v>
      </c>
      <c r="K52" s="8"/>
    </row>
    <row r="53" spans="9:14">
      <c r="J53" s="9" t="s">
        <v>299</v>
      </c>
      <c r="K53" s="10" t="s">
        <v>262</v>
      </c>
      <c r="N53" s="1" t="s">
        <v>262</v>
      </c>
    </row>
    <row r="54" spans="9:14">
      <c r="J54" s="9" t="s">
        <v>293</v>
      </c>
      <c r="K54" s="10" t="s">
        <v>307</v>
      </c>
      <c r="N54" s="1" t="s">
        <v>307</v>
      </c>
    </row>
    <row r="55" spans="9:14">
      <c r="J55" s="9" t="s">
        <v>295</v>
      </c>
      <c r="K55" s="10">
        <v>30</v>
      </c>
      <c r="N55" s="1">
        <v>30</v>
      </c>
    </row>
    <row r="56" spans="9:14">
      <c r="J56" s="9" t="s">
        <v>296</v>
      </c>
      <c r="K56" s="10">
        <v>50</v>
      </c>
      <c r="N56" s="1">
        <v>50</v>
      </c>
    </row>
    <row r="57" spans="9:14">
      <c r="J57" s="9" t="s">
        <v>297</v>
      </c>
      <c r="K57" s="60">
        <v>0.6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2015-12-08T18:38:44Z</dcterms:modified>
</cp:coreProperties>
</file>