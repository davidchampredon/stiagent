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3620" yWindow="0" windowWidth="36380" windowHeight="27020" tabRatio="500" activeTab="3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<sst xmlns="http://schemas.openxmlformats.org/spreadsheetml/2006/main" count="488" uniqueCount="392">
  <si>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</si>
  <si>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</si>
  <si>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</si>
  <si>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</si>
  <si>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</si>
  <si>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</si>
  <si>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</si>
  <si>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</si>
  <si>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</si>
  <si>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</si>
  <si>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</si>
  <si>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</si>
  <si>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</si>
  <si>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</si>
  <si>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</si>
  <si>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</si>
  <si>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</si>
  <si>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</si>
  <si>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</si>
  <si>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</si>
  <si>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</si>
  <si>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</si>
  <si>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</si>
  <si>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</si>
  <si>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</si>
  <si>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</si>
  <si>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</si>
  <si>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</si>
  <si>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</si>
  <si>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</si>
  <si>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</si>
  <si>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</si>
  <si>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</si>
  <si>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</si>
  <si>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</si>
  <si>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</si>
  <si>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</si>
  <si>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</si>
  <si>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</si>
  <si>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</si>
  <si>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</si>
  <si>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</si>
  <si>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</si>
  <si>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</si>
  <si>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</si>
  <si>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</si>
  <si>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</si>
  <si>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</si>
  <si>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</si>
  <si>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</si>
  <si>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</si>
  <si>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</si>
  <si>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</si>
  <si>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</si>
  <si>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</si>
  <si>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</si>
  <si>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</si>
  <si>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</si>
  <si>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</si>
  <si>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</si>
  <si>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</si>
  <si>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</si>
  <si>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</si>
  <si>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</si>
  <si>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</si>
  <si>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</si>
  <si>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</si>
  <si>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</si>
  <si>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</si>
  <si>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</si>
  <si>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</si>
  <si>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</si>
  <si>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</si>
  <si>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</si>
  <si>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</si>
  <si>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</si>
  <si>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</si>
  <si>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</si>
  <si>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</si>
  <si>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</si>
  <si>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</si>
  <si>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</si>
  <si>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</si>
  <si>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</si>
  <si>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</si>
  <si>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</si>
  <si>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</si>
  <si>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</si>
  <si>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</si>
  <si>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</si>
  <si>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</si>
  <si>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</si>
  <si>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</si>
  <si>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</si>
  <si>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</si>
  <si>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</si>
  <si>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</si>
  <si>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</si>
  <si>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</si>
  <si>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</si>
  <si>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</si>
  <si>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</si>
  <si>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</si>
  <si>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</si>
  <si>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</si>
  <si>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</si>
  <si>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</si>
  <si>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</si>
  <si>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</si>
  <si>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</si>
  <si>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</si>
  <si>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</si>
  <si>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</si>
  <si>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</si>
  <si>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</si>
  <si>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</si>
  <si>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</si>
  <si>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</si>
  <si>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</si>
  <si>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</si>
  <si>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</si>
  <si>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</si>
  <si>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</si>
  <si>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</si>
  <si>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</si>
  <si>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</si>
  <si>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</si>
  <si>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</si>
  <si>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</si>
  <si>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</si>
  <si>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</si>
  <si>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</si>
  <si>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</si>
  <si>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</si>
  <si>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</si>
  <si>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</si>
  <si>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</si>
  <si>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</si>
  <si>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</si>
  <si>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</si>
  <si>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</si>
  <si>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</si>
  <si>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</si>
  <si>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</si>
  <si>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</si>
  <si>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</si>
  <si>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</si>
  <si>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</si>
  <si>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</si>
  <si>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</si>
  <si>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</si>
  <si>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</si>
  <si>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</si>
  <si>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</si>
  <si>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</si>
  <si>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</si>
  <si>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</si>
  <si>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</si>
  <si>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</si>
  <si>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</si>
  <si>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</si>
  <si>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</si>
  <si>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</si>
  <si>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</si>
  <si>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</si>
  <si>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</si>
  <si>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</si>
  <si>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</si>
  <si>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</si>
  <si>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</si>
  <si>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</si>
  <si>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</si>
  <si>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</si>
  <si>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</si>
  <si>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</si>
  <si>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</si>
  <si>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</si>
  <si>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</si>
  <si>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</si>
  <si>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</si>
  <si>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</si>
  <si>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</si>
  <si>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</si>
  <si>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</si>
  <si>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</si>
  <si>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</si>
  <si>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</si>
  <si>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</si>
  <si>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</si>
  <si>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</si>
  <si>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</si>
  <si>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</si>
  <si>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</si>
  <si>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</si>
  <si>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</si>
  <si>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</si>
  <si>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</si>
  <si>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</si>
  <si>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</si>
  <si>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</si>
  <si>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</si>
  <si>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</si>
  <si>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</si>
  <si>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</si>
  <si>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</si>
  <si>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</si>
  <si>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</si>
  <si>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</si>
  <si>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</si>
  <si>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</si>
  <si>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</si>
  <si>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</si>
  <si>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</si>
  <si>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</si>
  <si>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</si>
  <si>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</si>
  <si>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</si>
  <si>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</si>
  <si>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</si>
  <si>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</si>
  <si>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</si>
  <si>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</si>
  <si>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</si>
  <si>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</si>
  <si>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</si>
  <si>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</si>
  <si>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</si>
  <si>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</si>
  <si>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</si>
  <si>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</si>
  <si>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</si>
  <si>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</si>
  <si>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</si>
  <si>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</si>
  <si>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</si>
  <si>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</si>
  <si>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</si>
  <si>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</si>
  <si>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</si>
  <si>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</si>
  <si>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</si>
  <si>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</si>
  <si>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</si>
  <si>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</si>
  <si>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</si>
  <si>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</si>
  <si>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</si>
  <si>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</si>
  <si>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</si>
  <si>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</si>
  <si>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</si>
  <si>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</si>
  <si>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</si>
  <si>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</si>
  <si>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</si>
  <si>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</si>
  <si>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</si>
  <si>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</si>
  <si>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</si>
  <si>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</si>
  <si>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</si>
  <si>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</si>
  <si>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</si>
  <si>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</si>
  <si>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</si>
  <si>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</si>
  <si>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</si>
  <si>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</si>
  <si>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</si>
  <si>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</si>
  <si>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</si>
  <si>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</si>
  <si>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</si>
  <si>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</si>
  <si>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</si>
  <si>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</si>
  <si>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</si>
  <si>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</si>
  <si>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</si>
  <si>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</si>
  <si>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</si>
  <si>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</si>
  <si>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</si>
  <si>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</si>
  <si>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</si>
  <si>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</si>
  <si>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</si>
  <si>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</si>
  <si>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</si>
  <si>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</si>
  <si>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</si>
  <si>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</si>
  <si>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</si>
  <si>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</si>
  <si>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</si>
  <si>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</si>
  <si>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</si>
  <si>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</si>
  <si>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</si>
  <si>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</si>
  <si>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</si>
  <si>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</si>
  <si>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</si>
  <si>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</si>
  <si>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</si>
  <si>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</si>
  <si>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</si>
  <si>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</si>
  <si>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</si>
  <si>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</si>
  <si>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</si>
  <si>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</si>
  <si>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</si>
  <si>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</si>
  <si>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</si>
  <si>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</si>
  <si>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</si>
  <si>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</si>
  <si>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</si>
  <si>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</si>
  <si>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</si>
  <si>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</si>
  <si>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</si>
  <si>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</si>
  <si>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</si>
  <si>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</si>
  <si>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</si>
  <si>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</si>
  <si>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</si>
  <si>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</si>
  <si>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</si>
  <si>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</si>
  <si>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</si>
  <si>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</si>
  <si>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</si>
  <si>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</si>
  <si>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</si>
  <si>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</si>
  <si>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</si>
  <si>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</si>
  <si>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</si>
  <si>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</si>
  <si>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</si>
  <si>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</si>
  <si>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</si>
  <si>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</si>
  <si>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</si>
  <si>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</si>
  <si>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</si>
  <si>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</si>
  <si>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</si>
  <si>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</si>
  <si>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</si>
  <si>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</si>
  <si>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</si>
  <si>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</si>
  <si>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</si>
  <si>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</si>
  <si>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</si>
  <si>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</si>
  <si>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</si>
  <si>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</si>
  <si>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</si>
  <si>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in_scenario_test.csv</t>
  </si>
  <si>
    <t>interv_Tp_test.csv</t>
  </si>
  <si>
    <t>&gt;&gt;&gt;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</si>
  <si>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</si>
  <si>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</si>
  <si>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</si>
  <si>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</si>
  <si>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</si>
  <si>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</si>
  <si>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</si>
  <si>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</si>
  <si>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</si>
  <si>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</si>
  <si>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</si>
  <si>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</si>
  <si>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</si>
  <si>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</si>
  <si>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</si>
  <si>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</si>
  <si>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</si>
  <si>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</si>
  <si>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</si>
  <si>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</si>
  <si>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</si>
  <si>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</si>
  <si>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</si>
  <si>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</si>
  <si>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</si>
  <si>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&lt;&lt;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</si>
</sst>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3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  <font>
      <b/>
      <i/>
      <sz val="12"/>
      <color rgb="FFFF0000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712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2" fillId="10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>
      <alignment horizontal="right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22" fillId="2" borderId="0" xfId="0" applyFont="1" applyFill="1"/>
  </cellXfs>
  <cellStyles count="371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7545976"/>
        <c:axId val="2107549000"/>
      </c:barChart>
      <c:catAx>
        <c:axId val="2107545976"/>
        <c:scaling>
          <c:orientation val="minMax"/>
        </c:scaling>
        <c:delete val="0"/>
        <c:axPos val="b"/>
        <c:majorTickMark val="none"/>
        <c:minorTickMark val="none"/>
        <c:tickLblPos val="nextTo"/>
        <c:crossAx val="2107549000"/>
        <c:crosses val="autoZero"/>
        <c:auto val="1"/>
        <c:lblAlgn val="ctr"/>
        <c:lblOffset val="100"/>
        <c:noMultiLvlLbl val="0"/>
      </c:catAx>
      <c:valAx>
        <c:axId val="2107549000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754597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619096"/>
        <c:axId val="2106924696"/>
      </c:lineChart>
      <c:catAx>
        <c:axId val="2107619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6924696"/>
        <c:crosses val="autoZero"/>
        <c:auto val="1"/>
        <c:lblAlgn val="ctr"/>
        <c:lblOffset val="100"/>
        <c:noMultiLvlLbl val="0"/>
      </c:catAx>
      <c:valAx>
        <c:axId val="210692469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761909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6889464"/>
        <c:axId val="2106886408"/>
      </c:lineChart>
      <c:catAx>
        <c:axId val="210688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6886408"/>
        <c:crosses val="autoZero"/>
        <c:auto val="1"/>
        <c:lblAlgn val="ctr"/>
        <c:lblOffset val="100"/>
        <c:noMultiLvlLbl val="0"/>
      </c:catAx>
      <c:valAx>
        <c:axId val="2106886408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0688946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860760"/>
        <c:axId val="2106857800"/>
      </c:scatterChart>
      <c:valAx>
        <c:axId val="2106860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6857800"/>
        <c:crosses val="autoZero"/>
        <c:crossBetween val="midCat"/>
      </c:valAx>
      <c:valAx>
        <c:axId val="2106857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686076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6824536"/>
        <c:axId val="2106821480"/>
      </c:lineChart>
      <c:catAx>
        <c:axId val="210682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6821480"/>
        <c:crosses val="autoZero"/>
        <c:auto val="1"/>
        <c:lblAlgn val="ctr"/>
        <c:lblOffset val="100"/>
        <c:noMultiLvlLbl val="0"/>
      </c:catAx>
      <c:valAx>
        <c:axId val="21068214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6824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772792"/>
        <c:axId val="2106769768"/>
      </c:scatterChart>
      <c:valAx>
        <c:axId val="210677279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06769768"/>
        <c:crosses val="autoZero"/>
        <c:crossBetween val="midCat"/>
        <c:majorUnit val="1.0"/>
      </c:valAx>
      <c:valAx>
        <c:axId val="2106769768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0677279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493080"/>
        <c:axId val="2108496040"/>
      </c:scatterChart>
      <c:valAx>
        <c:axId val="2108493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496040"/>
        <c:crosses val="autoZero"/>
        <c:crossBetween val="midCat"/>
      </c:valAx>
      <c:valAx>
        <c:axId val="210849604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49308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21944"/>
        <c:axId val="2108524984"/>
      </c:scatterChart>
      <c:valAx>
        <c:axId val="2108521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524984"/>
        <c:crosses val="autoZero"/>
        <c:crossBetween val="midCat"/>
      </c:valAx>
      <c:valAx>
        <c:axId val="210852498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85219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551480"/>
        <c:axId val="2108554424"/>
      </c:lineChart>
      <c:catAx>
        <c:axId val="2108551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554424"/>
        <c:crosses val="autoZero"/>
        <c:auto val="1"/>
        <c:lblAlgn val="ctr"/>
        <c:lblOffset val="100"/>
        <c:noMultiLvlLbl val="0"/>
      </c:catAx>
      <c:valAx>
        <c:axId val="210855442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551480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81368"/>
        <c:axId val="2108584472"/>
      </c:scatterChart>
      <c:valAx>
        <c:axId val="2108581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584472"/>
        <c:crosses val="autoZero"/>
        <c:crossBetween val="midCat"/>
      </c:valAx>
      <c:valAx>
        <c:axId val="210858447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85813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8614792"/>
        <c:axId val="2108617832"/>
      </c:barChart>
      <c:catAx>
        <c:axId val="2108614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08617832"/>
        <c:crosses val="autoZero"/>
        <c:auto val="1"/>
        <c:lblAlgn val="ctr"/>
        <c:lblOffset val="100"/>
        <c:noMultiLvlLbl val="0"/>
      </c:catAx>
      <c:valAx>
        <c:axId val="2108617832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0861479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699832"/>
        <c:axId val="2106694632"/>
      </c:scatterChart>
      <c:valAx>
        <c:axId val="2106699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06694632"/>
        <c:crosses val="autoZero"/>
        <c:crossBetween val="midCat"/>
      </c:valAx>
      <c:valAx>
        <c:axId val="210669463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066998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42327.951342592591</v>
      </c>
    </row>
    <row r="9" spans="1:16" ht="18">
      <c r="C9" s="6" t="s">
        <v>7</v>
      </c>
      <c r="D9" s="5"/>
      <c r="E9" s="25"/>
      <c r="F9" s="6" t="s">
        <v>301</v>
      </c>
      <c r="G9" s="5"/>
      <c r="I9" s="6" t="s">
        <v>17</v>
      </c>
      <c r="J9" s="5"/>
      <c r="L9" s="30" t="s">
        <v>310</v>
      </c>
      <c r="M9" s="27" t="s">
        <v>311</v>
      </c>
      <c r="N9" s="27" t="s">
        <v>312</v>
      </c>
      <c r="O9" s="27" t="s">
        <v>313</v>
      </c>
      <c r="P9" s="27" t="s">
        <v>314</v>
      </c>
    </row>
    <row r="10" spans="1:16">
      <c r="C10" s="3" t="s">
        <v>0</v>
      </c>
      <c r="D10" s="4">
        <v>50</v>
      </c>
      <c r="E10" s="25">
        <v>50</v>
      </c>
      <c r="F10" s="3" t="s">
        <v>388</v>
      </c>
      <c r="G10" s="4">
        <v>400</v>
      </c>
      <c r="I10" s="3" t="s">
        <v>8</v>
      </c>
      <c r="J10" s="22">
        <v>0.03</v>
      </c>
      <c r="L10" s="4" t="s">
        <v>255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30</v>
      </c>
      <c r="E11" s="25"/>
      <c r="F11" s="3" t="s">
        <v>389</v>
      </c>
      <c r="G11" s="4">
        <v>0.5</v>
      </c>
      <c r="I11" s="3" t="s">
        <v>9</v>
      </c>
      <c r="J11" s="4">
        <v>0.05</v>
      </c>
      <c r="L11" s="4" t="s">
        <v>262</v>
      </c>
      <c r="M11" s="22">
        <v>0.4</v>
      </c>
      <c r="N11" s="22">
        <v>0.5</v>
      </c>
      <c r="O11" s="22">
        <v>0.6</v>
      </c>
      <c r="P11" s="22">
        <v>0.3</v>
      </c>
    </row>
    <row r="12" spans="1:16">
      <c r="C12" s="16" t="s">
        <v>2</v>
      </c>
      <c r="D12" s="17">
        <v>50</v>
      </c>
      <c r="E12" s="25">
        <v>60</v>
      </c>
      <c r="F12" s="3" t="s">
        <v>390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58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59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60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61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62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29" t="s">
        <v>311</v>
      </c>
      <c r="N30" s="29" t="s">
        <v>312</v>
      </c>
      <c r="O30" s="29" t="s">
        <v>313</v>
      </c>
      <c r="P30" s="29" t="s">
        <v>314</v>
      </c>
    </row>
    <row r="31" spans="3:16">
      <c r="L31" s="1" t="s">
        <v>255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262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topLeftCell="A9" workbookViewId="0">
      <selection activeCell="F50" sqref="F50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1">
        <v>0.9</v>
      </c>
      <c r="E24" s="25">
        <v>0.82</v>
      </c>
      <c r="F24" s="1"/>
    </row>
    <row r="25" spans="3:23">
      <c r="C25" s="3" t="s">
        <v>32</v>
      </c>
      <c r="D25" s="61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324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42197.619756944441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55">
        <v>0.25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55">
        <v>0.55000000000000004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55">
        <v>0.2</v>
      </c>
      <c r="D8" s="1">
        <v>0.2</v>
      </c>
      <c r="F8" s="3" t="s">
        <v>98</v>
      </c>
      <c r="G8" s="54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8" t="s">
        <v>79</v>
      </c>
      <c r="C15" s="49">
        <v>20</v>
      </c>
      <c r="D15" s="1">
        <v>19</v>
      </c>
      <c r="H15" s="46"/>
      <c r="I15" s="53" t="s">
        <v>323</v>
      </c>
    </row>
    <row r="16" spans="1:9">
      <c r="B16" s="18" t="s">
        <v>80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83</v>
      </c>
      <c r="C19" s="17">
        <v>0.1</v>
      </c>
    </row>
    <row r="20" spans="2:28">
      <c r="B20" s="20" t="s">
        <v>84</v>
      </c>
      <c r="C20" s="21">
        <v>0.2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50" t="s">
        <v>85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8">
        <v>0.1</v>
      </c>
    </row>
    <row r="26" spans="2:28">
      <c r="B26" s="20" t="s">
        <v>90</v>
      </c>
      <c r="C26" s="41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tabSelected="1" showRuler="0" workbookViewId="0">
      <selection activeCell="F30" sqref="F30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42327.966504629629</v>
      </c>
      <c r="N3" s="32" t="s">
        <v>316</v>
      </c>
    </row>
    <row r="4" spans="1:16">
      <c r="N4" s="32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30" t="s">
        <v>315</v>
      </c>
      <c r="O5" s="30"/>
      <c r="P5" s="5"/>
    </row>
    <row r="6" spans="1:16">
      <c r="B6" s="21" t="s">
        <v>104</v>
      </c>
      <c r="C6" s="21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31"/>
      <c r="O6" s="31" t="s">
        <v>255</v>
      </c>
      <c r="P6" s="31" t="s">
        <v>262</v>
      </c>
    </row>
    <row r="7" spans="1:16">
      <c r="B7" s="44" t="s">
        <v>105</v>
      </c>
      <c r="C7" s="44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55">
        <v>1E-4</v>
      </c>
      <c r="N7" s="31" t="s">
        <v>255</v>
      </c>
      <c r="O7" s="59">
        <v>1</v>
      </c>
      <c r="P7" s="59">
        <v>2.5</v>
      </c>
    </row>
    <row r="8" spans="1:16">
      <c r="B8" s="44" t="s">
        <v>106</v>
      </c>
      <c r="C8" s="44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31" t="s">
        <v>262</v>
      </c>
      <c r="O8" s="59">
        <v>1</v>
      </c>
      <c r="P8" s="59">
        <v>1</v>
      </c>
    </row>
    <row r="9" spans="1:16">
      <c r="B9" s="44" t="s">
        <v>107</v>
      </c>
      <c r="C9" s="44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44" t="s">
        <v>108</v>
      </c>
      <c r="C10" s="44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44" t="s">
        <v>109</v>
      </c>
      <c r="C11" s="44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44" t="s">
        <v>110</v>
      </c>
      <c r="C12" s="44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44" t="s">
        <v>111</v>
      </c>
      <c r="C13" s="44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44" t="s">
        <v>112</v>
      </c>
      <c r="C14" s="44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17" t="s">
        <v>113</v>
      </c>
      <c r="C15" s="17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35"/>
      <c r="C16" s="36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362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353</v>
      </c>
      <c r="L18" s="4">
        <v>0.5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354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355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356</v>
      </c>
      <c r="L21" s="4">
        <v>0.999</v>
      </c>
    </row>
    <row r="22" spans="2:13">
      <c r="B22" s="18" t="s">
        <v>119</v>
      </c>
      <c r="C22" s="19">
        <v>0.4</v>
      </c>
      <c r="H22" s="3" t="s">
        <v>281</v>
      </c>
      <c r="I22" s="4">
        <v>3.0000000000000001E-3</v>
      </c>
      <c r="K22" s="3" t="s">
        <v>357</v>
      </c>
      <c r="L22" s="4">
        <v>0.999</v>
      </c>
    </row>
    <row r="23" spans="2:13">
      <c r="B23" s="18" t="s">
        <v>120</v>
      </c>
      <c r="C23" s="19">
        <v>1</v>
      </c>
      <c r="H23" s="3" t="s">
        <v>282</v>
      </c>
      <c r="I23" s="4">
        <v>0.01</v>
      </c>
      <c r="K23" s="3" t="s">
        <v>358</v>
      </c>
      <c r="L23" s="4">
        <v>0.999</v>
      </c>
    </row>
    <row r="24" spans="2:13">
      <c r="B24" s="18" t="s">
        <v>121</v>
      </c>
      <c r="C24" s="19">
        <v>0.06</v>
      </c>
      <c r="H24" s="3" t="s">
        <v>283</v>
      </c>
      <c r="I24" s="4">
        <v>0.05</v>
      </c>
      <c r="K24" s="3" t="s">
        <v>359</v>
      </c>
      <c r="L24" s="4">
        <v>0.999</v>
      </c>
    </row>
    <row r="25" spans="2:13">
      <c r="B25" s="18" t="s">
        <v>122</v>
      </c>
      <c r="C25" s="19">
        <v>0.1</v>
      </c>
      <c r="H25" s="3" t="s">
        <v>284</v>
      </c>
      <c r="I25" s="4">
        <v>0.01</v>
      </c>
      <c r="K25" s="3" t="s">
        <v>360</v>
      </c>
      <c r="L25" s="4">
        <v>0.999</v>
      </c>
    </row>
    <row r="26" spans="2:13">
      <c r="B26" s="18" t="s">
        <v>123</v>
      </c>
      <c r="C26" s="19">
        <v>999.99</v>
      </c>
      <c r="H26" s="3" t="s">
        <v>285</v>
      </c>
      <c r="I26" s="4">
        <v>0.01</v>
      </c>
      <c r="K26" s="3" t="s">
        <v>361</v>
      </c>
      <c r="L26" s="4">
        <v>0.999</v>
      </c>
    </row>
    <row r="27" spans="2:13">
      <c r="B27" s="18" t="s">
        <v>124</v>
      </c>
      <c r="C27" s="19">
        <v>0</v>
      </c>
      <c r="H27" s="3" t="s">
        <v>286</v>
      </c>
      <c r="I27" s="4">
        <v>0.01</v>
      </c>
      <c r="K27" s="3"/>
      <c r="L27" s="4"/>
    </row>
    <row r="28" spans="2:13">
      <c r="B28" s="18" t="s">
        <v>125</v>
      </c>
      <c r="C28" s="19">
        <v>0</v>
      </c>
      <c r="H28" s="3" t="s">
        <v>287</v>
      </c>
      <c r="I28" s="4">
        <v>0.01</v>
      </c>
      <c r="K28" s="3" t="s">
        <v>376</v>
      </c>
      <c r="L28" s="4">
        <v>0.999</v>
      </c>
    </row>
    <row r="29" spans="2:13">
      <c r="B29" s="18" t="s">
        <v>126</v>
      </c>
      <c r="C29" s="19">
        <v>0.5</v>
      </c>
      <c r="H29" s="3" t="s">
        <v>288</v>
      </c>
      <c r="I29" s="4">
        <v>0.01</v>
      </c>
      <c r="K29" s="3" t="s">
        <v>377</v>
      </c>
      <c r="L29" s="4">
        <v>0.05</v>
      </c>
      <c r="M29" s="1" t="s">
        <v>391</v>
      </c>
    </row>
    <row r="30" spans="2:13">
      <c r="B30" s="18" t="s">
        <v>366</v>
      </c>
      <c r="C30" s="19">
        <v>0.3</v>
      </c>
      <c r="H30" s="5"/>
      <c r="I30" s="5"/>
      <c r="K30" s="3" t="s">
        <v>378</v>
      </c>
      <c r="L30" s="4">
        <v>0.999</v>
      </c>
    </row>
    <row r="31" spans="2:13">
      <c r="B31" s="18"/>
      <c r="C31" s="19"/>
      <c r="K31" s="3" t="s">
        <v>379</v>
      </c>
      <c r="L31" s="4">
        <v>0.999</v>
      </c>
    </row>
    <row r="32" spans="2:13">
      <c r="B32" s="18" t="s">
        <v>174</v>
      </c>
      <c r="C32" s="19">
        <v>0.4</v>
      </c>
      <c r="K32" s="3" t="s">
        <v>380</v>
      </c>
      <c r="L32" s="4">
        <v>0.999</v>
      </c>
    </row>
    <row r="33" spans="2:12">
      <c r="B33" s="18" t="s">
        <v>175</v>
      </c>
      <c r="C33" s="19">
        <v>0.9</v>
      </c>
      <c r="K33" s="3" t="s">
        <v>381</v>
      </c>
      <c r="L33" s="4">
        <v>0.999</v>
      </c>
    </row>
    <row r="34" spans="2:12">
      <c r="B34" s="18" t="s">
        <v>176</v>
      </c>
      <c r="C34" s="19">
        <v>1</v>
      </c>
      <c r="K34" s="3" t="s">
        <v>382</v>
      </c>
      <c r="L34" s="4">
        <v>0.999</v>
      </c>
    </row>
    <row r="35" spans="2:12">
      <c r="B35" s="18" t="s">
        <v>177</v>
      </c>
      <c r="C35" s="19">
        <v>0.15</v>
      </c>
      <c r="K35" s="3" t="s">
        <v>383</v>
      </c>
      <c r="L35" s="4">
        <v>0.999</v>
      </c>
    </row>
    <row r="36" spans="2:12">
      <c r="B36" s="18" t="s">
        <v>178</v>
      </c>
      <c r="C36" s="19">
        <v>0.15</v>
      </c>
      <c r="K36" s="3" t="s">
        <v>384</v>
      </c>
      <c r="L36" s="4">
        <v>0.999</v>
      </c>
    </row>
    <row r="37" spans="2:12">
      <c r="B37" s="18" t="s">
        <v>179</v>
      </c>
      <c r="C37" s="19">
        <v>0.85</v>
      </c>
      <c r="K37" s="3" t="s">
        <v>385</v>
      </c>
      <c r="L37" s="4">
        <v>0.999</v>
      </c>
    </row>
    <row r="38" spans="2:12">
      <c r="B38" s="18" t="s">
        <v>180</v>
      </c>
      <c r="C38" s="19">
        <v>0.2</v>
      </c>
      <c r="K38" s="3"/>
      <c r="L38" s="4"/>
    </row>
    <row r="39" spans="2:12">
      <c r="B39" s="18" t="s">
        <v>181</v>
      </c>
      <c r="C39" s="19">
        <v>4</v>
      </c>
      <c r="K39" s="3"/>
      <c r="L39" s="4"/>
    </row>
    <row r="40" spans="2:12">
      <c r="B40" s="18" t="s">
        <v>182</v>
      </c>
      <c r="C40" s="19">
        <v>16</v>
      </c>
      <c r="K40" s="3"/>
      <c r="L40" s="4"/>
    </row>
    <row r="41" spans="2:12">
      <c r="B41" s="18" t="s">
        <v>183</v>
      </c>
      <c r="C41" s="19">
        <v>52</v>
      </c>
      <c r="K41" s="5"/>
      <c r="L41" s="5"/>
    </row>
    <row r="42" spans="2:12">
      <c r="B42" s="18" t="s">
        <v>184</v>
      </c>
      <c r="C42" s="19">
        <v>6</v>
      </c>
    </row>
    <row r="43" spans="2:12">
      <c r="B43" s="18" t="s">
        <v>185</v>
      </c>
      <c r="C43" s="19">
        <v>10</v>
      </c>
    </row>
    <row r="44" spans="2:12">
      <c r="B44" s="18" t="s">
        <v>186</v>
      </c>
      <c r="C44" s="19">
        <v>10</v>
      </c>
    </row>
    <row r="45" spans="2:12">
      <c r="B45" s="18" t="s">
        <v>187</v>
      </c>
      <c r="C45" s="19">
        <v>10</v>
      </c>
    </row>
    <row r="46" spans="2:12">
      <c r="B46" s="18" t="s">
        <v>188</v>
      </c>
      <c r="C46" s="19">
        <v>0.05</v>
      </c>
    </row>
    <row r="47" spans="2:12">
      <c r="B47" s="18" t="s">
        <v>189</v>
      </c>
      <c r="C47" s="19">
        <v>0.7</v>
      </c>
    </row>
    <row r="48" spans="2:12">
      <c r="B48" s="18" t="s">
        <v>190</v>
      </c>
      <c r="C48" s="19">
        <v>0.7</v>
      </c>
    </row>
    <row r="49" spans="2:4">
      <c r="B49" s="18" t="s">
        <v>191</v>
      </c>
      <c r="C49" s="19">
        <v>0.5</v>
      </c>
    </row>
    <row r="50" spans="2:4">
      <c r="B50" s="18" t="s">
        <v>192</v>
      </c>
      <c r="C50" s="19">
        <v>1.05</v>
      </c>
    </row>
    <row r="51" spans="2:4">
      <c r="B51" s="18" t="s">
        <v>193</v>
      </c>
      <c r="C51" s="19">
        <v>2</v>
      </c>
    </row>
    <row r="52" spans="2:4">
      <c r="B52" s="18" t="s">
        <v>194</v>
      </c>
      <c r="C52" s="19">
        <v>1.5</v>
      </c>
    </row>
    <row r="53" spans="2:4">
      <c r="B53" s="18" t="s">
        <v>195</v>
      </c>
      <c r="C53" s="19">
        <v>4</v>
      </c>
    </row>
    <row r="54" spans="2:4">
      <c r="B54" s="18" t="s">
        <v>196</v>
      </c>
      <c r="C54" s="19">
        <v>1.1000000000000001</v>
      </c>
    </row>
    <row r="55" spans="2:4">
      <c r="B55" s="18" t="s">
        <v>197</v>
      </c>
      <c r="C55" s="19">
        <v>1.8</v>
      </c>
    </row>
    <row r="56" spans="2:4">
      <c r="B56" s="18" t="s">
        <v>198</v>
      </c>
      <c r="C56" s="19">
        <v>1.5</v>
      </c>
    </row>
    <row r="57" spans="2:4">
      <c r="B57" s="18" t="s">
        <v>199</v>
      </c>
      <c r="C57" s="19">
        <v>4</v>
      </c>
    </row>
    <row r="58" spans="2:4">
      <c r="B58" s="18" t="s">
        <v>200</v>
      </c>
      <c r="C58" s="19">
        <v>1</v>
      </c>
    </row>
    <row r="59" spans="2:4">
      <c r="B59" s="18" t="s">
        <v>371</v>
      </c>
      <c r="C59" s="19">
        <v>0.9</v>
      </c>
      <c r="D59" s="67"/>
    </row>
    <row r="60" spans="2:4">
      <c r="B60" s="18"/>
      <c r="C60" s="19"/>
    </row>
    <row r="61" spans="2:4">
      <c r="B61" s="18" t="s">
        <v>127</v>
      </c>
      <c r="C61" s="19">
        <v>0.1</v>
      </c>
    </row>
    <row r="62" spans="2:4">
      <c r="B62" s="18" t="s">
        <v>128</v>
      </c>
      <c r="C62" s="19">
        <v>0.9</v>
      </c>
    </row>
    <row r="63" spans="2:4">
      <c r="B63" s="18" t="s">
        <v>129</v>
      </c>
      <c r="C63" s="19">
        <v>999.99</v>
      </c>
    </row>
    <row r="64" spans="2:4">
      <c r="B64" s="18" t="s">
        <v>130</v>
      </c>
      <c r="C64" s="19">
        <v>0.2</v>
      </c>
    </row>
    <row r="65" spans="2:3">
      <c r="B65" s="18" t="s">
        <v>131</v>
      </c>
      <c r="C65" s="19">
        <v>0.2</v>
      </c>
    </row>
    <row r="66" spans="2:3">
      <c r="B66" s="18" t="s">
        <v>132</v>
      </c>
      <c r="C66" s="19">
        <v>1</v>
      </c>
    </row>
    <row r="67" spans="2:3">
      <c r="B67" s="18" t="s">
        <v>133</v>
      </c>
      <c r="C67" s="19">
        <v>1</v>
      </c>
    </row>
    <row r="68" spans="2:3">
      <c r="B68" s="18" t="s">
        <v>134</v>
      </c>
      <c r="C68" s="19">
        <v>0.2</v>
      </c>
    </row>
    <row r="69" spans="2:3">
      <c r="B69" s="18" t="s">
        <v>135</v>
      </c>
      <c r="C69" s="19">
        <v>12</v>
      </c>
    </row>
    <row r="70" spans="2:3">
      <c r="B70" s="18" t="s">
        <v>136</v>
      </c>
      <c r="C70" s="19">
        <v>0.08</v>
      </c>
    </row>
    <row r="71" spans="2:3">
      <c r="B71" s="18" t="s">
        <v>137</v>
      </c>
      <c r="C71" s="19">
        <v>0.1</v>
      </c>
    </row>
    <row r="72" spans="2:3">
      <c r="B72" s="18" t="s">
        <v>138</v>
      </c>
      <c r="C72" s="19">
        <v>0.8</v>
      </c>
    </row>
    <row r="73" spans="2:3">
      <c r="B73" s="18" t="s">
        <v>367</v>
      </c>
      <c r="C73" s="19">
        <v>0.3</v>
      </c>
    </row>
    <row r="74" spans="2:3">
      <c r="B74" s="18"/>
      <c r="C74" s="19"/>
    </row>
    <row r="75" spans="2:3">
      <c r="B75" s="18" t="s">
        <v>139</v>
      </c>
      <c r="C75" s="19">
        <v>0.1</v>
      </c>
    </row>
    <row r="76" spans="2:3">
      <c r="B76" s="18" t="s">
        <v>140</v>
      </c>
      <c r="C76" s="19">
        <v>0.9</v>
      </c>
    </row>
    <row r="77" spans="2:3">
      <c r="B77" s="18" t="s">
        <v>141</v>
      </c>
      <c r="C77" s="19">
        <v>1.5</v>
      </c>
    </row>
    <row r="78" spans="2:3">
      <c r="B78" s="18" t="s">
        <v>142</v>
      </c>
      <c r="C78" s="19">
        <v>0.05</v>
      </c>
    </row>
    <row r="79" spans="2:3">
      <c r="B79" s="18" t="s">
        <v>143</v>
      </c>
      <c r="C79" s="19">
        <v>0.05</v>
      </c>
    </row>
    <row r="80" spans="2:3">
      <c r="B80" s="18" t="s">
        <v>144</v>
      </c>
      <c r="C80" s="19">
        <v>16</v>
      </c>
    </row>
    <row r="81" spans="2:35">
      <c r="B81" s="18" t="s">
        <v>145</v>
      </c>
      <c r="C81" s="19">
        <v>32</v>
      </c>
    </row>
    <row r="82" spans="2:35">
      <c r="B82" s="18" t="s">
        <v>146</v>
      </c>
      <c r="C82" s="19">
        <v>0.2</v>
      </c>
      <c r="D82" s="34">
        <v>0.85</v>
      </c>
    </row>
    <row r="83" spans="2:35">
      <c r="B83" s="18" t="s">
        <v>147</v>
      </c>
      <c r="C83" s="19">
        <v>0.1</v>
      </c>
      <c r="D83" s="34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8" t="s">
        <v>148</v>
      </c>
      <c r="C84" s="19">
        <v>0.7</v>
      </c>
      <c r="D84" s="34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8" t="s">
        <v>368</v>
      </c>
      <c r="C85" s="19">
        <v>0.3</v>
      </c>
      <c r="D85" s="34">
        <v>0.15</v>
      </c>
      <c r="AD85" s="33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8"/>
      <c r="C86" s="19"/>
      <c r="D86" s="34">
        <v>0.15</v>
      </c>
      <c r="AD86" s="33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8" t="s">
        <v>149</v>
      </c>
      <c r="C87" s="19">
        <v>0.2</v>
      </c>
      <c r="D87" s="34">
        <v>0.85</v>
      </c>
      <c r="AD87" s="33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8" t="s">
        <v>150</v>
      </c>
      <c r="C88" s="19">
        <v>0.9</v>
      </c>
      <c r="D88" s="34">
        <v>0.2</v>
      </c>
      <c r="AD88" s="33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8" t="s">
        <v>151</v>
      </c>
      <c r="C89" s="19">
        <v>1</v>
      </c>
      <c r="D89" s="34">
        <v>4</v>
      </c>
      <c r="AD89" s="33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8" t="s">
        <v>152</v>
      </c>
      <c r="C90" s="19">
        <v>0.2</v>
      </c>
      <c r="D90" s="34">
        <v>16</v>
      </c>
      <c r="AD90" s="33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8" t="s">
        <v>153</v>
      </c>
      <c r="C91" s="19">
        <v>0.2</v>
      </c>
      <c r="D91" s="34">
        <v>52</v>
      </c>
      <c r="AD91" s="33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8" t="s">
        <v>154</v>
      </c>
      <c r="C92" s="19">
        <v>3</v>
      </c>
      <c r="D92" s="34">
        <v>5</v>
      </c>
      <c r="AD92" s="33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8" t="s">
        <v>155</v>
      </c>
      <c r="C93" s="19">
        <v>39</v>
      </c>
      <c r="D93" s="34">
        <v>10</v>
      </c>
      <c r="AD93" s="33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8" t="s">
        <v>156</v>
      </c>
      <c r="C94" s="19">
        <v>4</v>
      </c>
      <c r="D94" s="34">
        <v>10</v>
      </c>
      <c r="AD94" s="33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8" t="s">
        <v>157</v>
      </c>
      <c r="C95" s="19">
        <v>1.5</v>
      </c>
      <c r="D95" s="34">
        <v>10</v>
      </c>
      <c r="AD95" s="33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8" t="s">
        <v>158</v>
      </c>
      <c r="C96" s="19">
        <v>4</v>
      </c>
      <c r="D96" s="34">
        <v>0.05</v>
      </c>
      <c r="AD96" s="33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8" t="s">
        <v>159</v>
      </c>
      <c r="C97" s="19">
        <v>1.1000000000000001</v>
      </c>
      <c r="D97" s="34">
        <v>0.7</v>
      </c>
      <c r="AD97" s="33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8" t="s">
        <v>160</v>
      </c>
      <c r="C98" s="19">
        <v>1.8</v>
      </c>
      <c r="D98" s="34">
        <v>0.7</v>
      </c>
      <c r="AD98" s="33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8" t="s">
        <v>161</v>
      </c>
      <c r="C99" s="19">
        <v>0</v>
      </c>
      <c r="D99" s="34">
        <v>0.5</v>
      </c>
      <c r="AD99" s="33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8" t="s">
        <v>162</v>
      </c>
      <c r="C100" s="19">
        <v>1</v>
      </c>
      <c r="D100" s="34">
        <v>1.5</v>
      </c>
      <c r="AD100" s="33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8" t="s">
        <v>369</v>
      </c>
      <c r="C101" s="19">
        <v>0.3</v>
      </c>
      <c r="D101" s="34">
        <v>4</v>
      </c>
      <c r="AD101" s="33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8"/>
      <c r="C102" s="19"/>
      <c r="D102" s="34">
        <v>1.5</v>
      </c>
      <c r="AD102" s="33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8" t="s">
        <v>163</v>
      </c>
      <c r="C103" s="19">
        <v>0.49</v>
      </c>
      <c r="D103" s="34">
        <v>4</v>
      </c>
      <c r="AD103" s="33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8" t="s">
        <v>164</v>
      </c>
      <c r="C104" s="19">
        <v>0.9</v>
      </c>
      <c r="D104" s="34">
        <v>1.1000000000000001</v>
      </c>
      <c r="AD104" s="33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8" t="s">
        <v>165</v>
      </c>
      <c r="C105" s="19">
        <v>1</v>
      </c>
      <c r="D105" s="34">
        <v>1.8</v>
      </c>
      <c r="AD105" s="33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8" t="s">
        <v>166</v>
      </c>
      <c r="C106" s="19">
        <v>0.3</v>
      </c>
      <c r="D106" s="34">
        <v>1.5</v>
      </c>
      <c r="AD106" s="33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8" t="s">
        <v>167</v>
      </c>
      <c r="C107" s="19">
        <v>0.7</v>
      </c>
      <c r="D107" s="34">
        <v>4</v>
      </c>
      <c r="AD107" s="33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8" t="s">
        <v>168</v>
      </c>
      <c r="C108" s="19">
        <v>2</v>
      </c>
      <c r="D108" s="34">
        <v>1</v>
      </c>
      <c r="AD108" s="33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8" t="s">
        <v>169</v>
      </c>
      <c r="C109" s="19">
        <v>20</v>
      </c>
      <c r="AD109" s="33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8" t="s">
        <v>170</v>
      </c>
      <c r="C110" s="19">
        <v>0</v>
      </c>
      <c r="AD110" s="33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8" t="s">
        <v>171</v>
      </c>
      <c r="C111" s="65">
        <v>1.5</v>
      </c>
      <c r="AD111" s="33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8" t="s">
        <v>172</v>
      </c>
      <c r="C112" s="19">
        <v>4</v>
      </c>
      <c r="AD112" s="33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8" t="s">
        <v>173</v>
      </c>
      <c r="C113" s="19">
        <v>1</v>
      </c>
      <c r="AD113" s="33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8" t="s">
        <v>370</v>
      </c>
      <c r="C114" s="19">
        <v>0.3</v>
      </c>
      <c r="AD114" s="33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8"/>
      <c r="C115" s="19"/>
      <c r="AD115" s="33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8"/>
      <c r="C116" s="19"/>
      <c r="AD116" s="33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8" t="s">
        <v>201</v>
      </c>
      <c r="C117" s="19">
        <v>0.5</v>
      </c>
      <c r="AD117" s="33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8" t="s">
        <v>202</v>
      </c>
      <c r="C118" s="19">
        <v>0.9</v>
      </c>
      <c r="AD118" s="33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8" t="s">
        <v>203</v>
      </c>
      <c r="C119" s="19">
        <v>0.5</v>
      </c>
      <c r="AD119" s="33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8" t="s">
        <v>204</v>
      </c>
      <c r="C120" s="19">
        <v>0.5</v>
      </c>
      <c r="AD120" s="33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8" t="s">
        <v>205</v>
      </c>
      <c r="C121" s="19">
        <v>0.9</v>
      </c>
      <c r="AD121" s="33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8" t="s">
        <v>206</v>
      </c>
      <c r="C122" s="19">
        <v>1</v>
      </c>
      <c r="AD122" s="33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8" t="s">
        <v>207</v>
      </c>
      <c r="C123" s="19">
        <v>12</v>
      </c>
      <c r="AD123" s="33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8" t="s">
        <v>208</v>
      </c>
      <c r="C124" s="19">
        <v>12</v>
      </c>
      <c r="AD124" s="33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8" t="s">
        <v>209</v>
      </c>
      <c r="C125" s="19">
        <v>1.5</v>
      </c>
      <c r="AD125" s="33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8" t="s">
        <v>210</v>
      </c>
      <c r="C126" s="19">
        <v>4</v>
      </c>
      <c r="AD126" s="33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8" t="s">
        <v>211</v>
      </c>
      <c r="C127" s="19">
        <v>1.1000000000000001</v>
      </c>
      <c r="AD127" s="33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8" t="s">
        <v>212</v>
      </c>
      <c r="C128" s="19">
        <v>1.4</v>
      </c>
      <c r="AD128" s="33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8" t="s">
        <v>213</v>
      </c>
      <c r="C129" s="19">
        <v>0.1</v>
      </c>
      <c r="AD129" s="33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8" t="s">
        <v>214</v>
      </c>
      <c r="C130" s="19">
        <v>0.6</v>
      </c>
      <c r="AD130" s="33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8" t="s">
        <v>372</v>
      </c>
      <c r="C131" s="19">
        <v>0.3</v>
      </c>
      <c r="AD131" s="33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8"/>
      <c r="C132" s="19"/>
      <c r="AD132" s="33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8" t="s">
        <v>215</v>
      </c>
      <c r="C133" s="19">
        <v>0.5</v>
      </c>
      <c r="AD133" s="33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8" t="s">
        <v>216</v>
      </c>
      <c r="C134" s="19">
        <v>0.9</v>
      </c>
      <c r="AD134" s="33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8" t="s">
        <v>217</v>
      </c>
      <c r="C135" s="19">
        <v>1</v>
      </c>
      <c r="AD135" s="33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8" t="s">
        <v>218</v>
      </c>
      <c r="C136" s="19">
        <v>0.1</v>
      </c>
      <c r="AD136" s="33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8" t="s">
        <v>219</v>
      </c>
      <c r="C137" s="19">
        <v>0.1</v>
      </c>
      <c r="AD137" s="33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8" t="s">
        <v>220</v>
      </c>
      <c r="C138" s="19">
        <v>3</v>
      </c>
      <c r="AD138" s="33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8" t="s">
        <v>221</v>
      </c>
      <c r="C139" s="19">
        <v>16</v>
      </c>
      <c r="AD139" s="33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8" t="s">
        <v>222</v>
      </c>
      <c r="C140" s="19">
        <v>0.1</v>
      </c>
      <c r="AD140" s="33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8" t="s">
        <v>223</v>
      </c>
      <c r="C141" s="19">
        <v>1</v>
      </c>
      <c r="AD141" s="33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8" t="s">
        <v>373</v>
      </c>
      <c r="C142" s="19">
        <v>0.3</v>
      </c>
      <c r="AD142" s="33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8"/>
      <c r="C143" s="19"/>
      <c r="AD143" s="33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8" t="s">
        <v>224</v>
      </c>
      <c r="C144" s="19">
        <v>3</v>
      </c>
      <c r="AD144" s="33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8" t="s">
        <v>225</v>
      </c>
      <c r="C145" s="19">
        <v>-99</v>
      </c>
      <c r="AD145" s="33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8" t="s">
        <v>226</v>
      </c>
      <c r="C146" s="19">
        <v>24</v>
      </c>
      <c r="AD146" s="33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8" t="s">
        <v>227</v>
      </c>
      <c r="C147" s="19">
        <v>6</v>
      </c>
      <c r="AD147" s="33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8" t="s">
        <v>228</v>
      </c>
      <c r="C148" s="19">
        <v>9</v>
      </c>
      <c r="AD148" s="33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8" t="s">
        <v>229</v>
      </c>
      <c r="C149" s="19">
        <v>0.7</v>
      </c>
      <c r="AD149" s="33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8" t="s">
        <v>230</v>
      </c>
      <c r="C150" s="19">
        <v>0.5</v>
      </c>
      <c r="AD150" s="33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8" t="s">
        <v>231</v>
      </c>
      <c r="C151" s="19">
        <v>0.5</v>
      </c>
      <c r="AD151" s="33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8" t="s">
        <v>232</v>
      </c>
      <c r="C152" s="19">
        <v>0.9</v>
      </c>
      <c r="AD152" s="33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8" t="s">
        <v>233</v>
      </c>
      <c r="C153" s="19">
        <v>2</v>
      </c>
      <c r="AD153" s="33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8" t="s">
        <v>234</v>
      </c>
      <c r="C154" s="19">
        <v>0.1</v>
      </c>
      <c r="AD154" s="33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8" t="s">
        <v>235</v>
      </c>
      <c r="C155" s="19">
        <v>0.1</v>
      </c>
      <c r="AD155" s="33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8" t="s">
        <v>236</v>
      </c>
      <c r="C156" s="19">
        <v>0.1</v>
      </c>
      <c r="AD156" s="33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8" t="s">
        <v>237</v>
      </c>
      <c r="C157" s="19">
        <v>0.75</v>
      </c>
      <c r="AD157" s="33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8" t="s">
        <v>238</v>
      </c>
      <c r="C158" s="19">
        <v>1.7</v>
      </c>
      <c r="AD158" s="33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8" t="s">
        <v>239</v>
      </c>
      <c r="C159" s="19">
        <v>4</v>
      </c>
      <c r="AD159" s="33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8" t="s">
        <v>240</v>
      </c>
      <c r="C160" s="19">
        <v>2</v>
      </c>
      <c r="AD160" s="33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8" t="s">
        <v>241</v>
      </c>
      <c r="C161" s="19">
        <v>4</v>
      </c>
      <c r="AD161" s="33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8" t="s">
        <v>242</v>
      </c>
      <c r="C162" s="19">
        <v>2</v>
      </c>
      <c r="AD162" s="33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8" t="s">
        <v>243</v>
      </c>
      <c r="C163" s="19">
        <v>5</v>
      </c>
      <c r="AD163" s="33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8" t="s">
        <v>244</v>
      </c>
      <c r="C164" s="19">
        <v>2</v>
      </c>
      <c r="AD164" s="33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8" t="s">
        <v>245</v>
      </c>
      <c r="C165" s="19">
        <v>4</v>
      </c>
      <c r="AD165" s="33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8" t="s">
        <v>374</v>
      </c>
      <c r="C166" s="19">
        <v>0.3</v>
      </c>
      <c r="AD166" s="33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8"/>
      <c r="C167" s="19"/>
      <c r="AD167" s="33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66" t="s">
        <v>246</v>
      </c>
      <c r="C168" s="66">
        <v>3</v>
      </c>
      <c r="AD168" s="33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66" t="s">
        <v>247</v>
      </c>
      <c r="C169" s="66">
        <v>16</v>
      </c>
      <c r="AD169" s="33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66" t="s">
        <v>248</v>
      </c>
      <c r="C170" s="66">
        <v>0.5</v>
      </c>
      <c r="AD170" s="33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66" t="s">
        <v>249</v>
      </c>
      <c r="C171" s="66">
        <v>0.9</v>
      </c>
      <c r="AD171" s="33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66" t="s">
        <v>250</v>
      </c>
      <c r="C172" s="66">
        <v>1</v>
      </c>
      <c r="AD172" s="33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66" t="s">
        <v>251</v>
      </c>
      <c r="C173" s="66">
        <v>0.1</v>
      </c>
      <c r="AD173" s="33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66" t="s">
        <v>252</v>
      </c>
      <c r="C174" s="66">
        <v>0.1</v>
      </c>
      <c r="AD174" s="33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66" t="s">
        <v>253</v>
      </c>
      <c r="C175" s="66">
        <v>0.1</v>
      </c>
      <c r="AD175" s="33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66" t="s">
        <v>254</v>
      </c>
      <c r="C176" s="66">
        <v>1</v>
      </c>
      <c r="AD176" s="33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66" t="s">
        <v>375</v>
      </c>
      <c r="C177" s="66">
        <v>0.3</v>
      </c>
      <c r="AD177" s="33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66"/>
      <c r="C178" s="66"/>
      <c r="AD178" s="33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66"/>
      <c r="C179" s="66"/>
      <c r="AD179" s="33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66"/>
      <c r="C180" s="66"/>
      <c r="AD180" s="33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66"/>
      <c r="C181" s="66"/>
      <c r="AD181" s="33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66"/>
      <c r="C182" s="66"/>
      <c r="AD182" s="33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66"/>
      <c r="C183" s="66"/>
      <c r="AD183" s="33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66"/>
      <c r="C184" s="66"/>
      <c r="AD184" s="33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66"/>
      <c r="C185" s="66"/>
      <c r="AD185" s="33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66"/>
      <c r="C186" s="66"/>
      <c r="AD186" s="33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66"/>
      <c r="C187" s="66"/>
      <c r="AD187" s="33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66"/>
      <c r="C188" s="66"/>
      <c r="AD188" s="33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66"/>
      <c r="C189" s="66"/>
      <c r="AD189" s="33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66"/>
      <c r="C190" s="66"/>
      <c r="AD190" s="33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66"/>
      <c r="C191" s="66"/>
      <c r="AD191" s="33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66"/>
      <c r="C192" s="66"/>
      <c r="AD192" s="33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66"/>
      <c r="C193" s="66"/>
      <c r="AD193" s="33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33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33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33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33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33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33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33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33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33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33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33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33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33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33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33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33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33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33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33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33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33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33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33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33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33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33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33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33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33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33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33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33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33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33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33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33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33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33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33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33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33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33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33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33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33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33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33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33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33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33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33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33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33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33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33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33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33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33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33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33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33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33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33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33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33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33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33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33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33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33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33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33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33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33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33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33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33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33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33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33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33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33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33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33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33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33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33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33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33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33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33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33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33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33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33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33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33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33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33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33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33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33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33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showRuler="0" workbookViewId="0">
      <pane ySplit="3" topLeftCell="A4" activePane="bottomLeft" state="frozen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42327.955150462964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7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7" t="s">
        <v>304</v>
      </c>
    </row>
    <row r="11" spans="1:21">
      <c r="A11" s="29">
        <v>1</v>
      </c>
      <c r="B11" s="9" t="s">
        <v>344</v>
      </c>
      <c r="C11" s="15" t="b">
        <f>IF(B11="",FALSE,ISNA(VLOOKUP(B11,F:F,1,0)))</f>
        <v>0</v>
      </c>
      <c r="F11" s="23" t="s">
        <v>302</v>
      </c>
      <c r="G11" s="15" t="b">
        <f>IF(F11="",FALSE,ISNA(VLOOKUP(F11,J:M,1,0)))</f>
        <v>0</v>
      </c>
      <c r="J11" s="23" t="s">
        <v>299</v>
      </c>
      <c r="K11" s="24" t="s">
        <v>255</v>
      </c>
      <c r="U11" s="27" t="s">
        <v>300</v>
      </c>
    </row>
    <row r="12" spans="1:21">
      <c r="A12" s="29">
        <f>IF(B12="","",A11+1)</f>
        <v>2</v>
      </c>
      <c r="B12" s="9" t="s">
        <v>347</v>
      </c>
      <c r="C12" s="15" t="b">
        <f>IF(B12="",FALSE,ISNA(VLOOKUP(B12,F:F,1,0)))</f>
        <v>0</v>
      </c>
      <c r="F12" s="23" t="s">
        <v>303</v>
      </c>
      <c r="G12" s="15" t="b">
        <f t="shared" ref="G12:G14" si="0">IF(F12="",FALSE,ISNA(VLOOKUP(F12,J:M,1,0)))</f>
        <v>0</v>
      </c>
      <c r="J12" s="23" t="s">
        <v>293</v>
      </c>
      <c r="K12" s="24" t="s">
        <v>294</v>
      </c>
      <c r="U12" s="27" t="s">
        <v>305</v>
      </c>
    </row>
    <row r="13" spans="1:21">
      <c r="A13" s="29">
        <f t="shared" ref="A13:A18" si="1">IF(B13="","",A12+1)</f>
        <v>3</v>
      </c>
      <c r="B13" s="9" t="s">
        <v>346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295</v>
      </c>
      <c r="K13" s="24">
        <v>13</v>
      </c>
      <c r="U13" s="27" t="s">
        <v>306</v>
      </c>
    </row>
    <row r="14" spans="1:21">
      <c r="A14" s="29" t="str">
        <f t="shared" si="1"/>
        <v/>
      </c>
      <c r="B14" s="9"/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296</v>
      </c>
      <c r="K14" s="24">
        <v>999</v>
      </c>
      <c r="U14" s="27" t="s">
        <v>307</v>
      </c>
    </row>
    <row r="15" spans="1:21">
      <c r="A15" s="29" t="str">
        <f t="shared" si="1"/>
        <v/>
      </c>
      <c r="B15" s="9"/>
      <c r="C15" s="15" t="b">
        <f t="shared" si="2"/>
        <v>0</v>
      </c>
      <c r="G15" s="15"/>
      <c r="J15" s="23" t="s">
        <v>297</v>
      </c>
      <c r="K15" s="58">
        <v>0.15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302</v>
      </c>
      <c r="G18" s="15" t="b">
        <f>IF(F18="",FALSE,ISNA(VLOOKUP(F18,J:M,1,0)))</f>
        <v>0</v>
      </c>
      <c r="J18" s="23" t="s">
        <v>299</v>
      </c>
      <c r="K18" s="24" t="s">
        <v>262</v>
      </c>
    </row>
    <row r="19" spans="1:11">
      <c r="F19" s="9" t="s">
        <v>303</v>
      </c>
      <c r="G19" s="15" t="b">
        <f t="shared" ref="G19:G21" si="3">IF(F19="",FALSE,ISNA(VLOOKUP(F19,J:M,1,0)))</f>
        <v>0</v>
      </c>
      <c r="J19" s="23" t="s">
        <v>293</v>
      </c>
      <c r="K19" s="24" t="s">
        <v>304</v>
      </c>
    </row>
    <row r="20" spans="1:11">
      <c r="F20" s="9" t="s">
        <v>308</v>
      </c>
      <c r="G20" s="15" t="b">
        <f t="shared" si="3"/>
        <v>0</v>
      </c>
      <c r="J20" s="23" t="s">
        <v>295</v>
      </c>
      <c r="K20" s="24">
        <v>5</v>
      </c>
    </row>
    <row r="21" spans="1:11">
      <c r="F21" s="9"/>
      <c r="G21" s="15" t="b">
        <f t="shared" si="3"/>
        <v>0</v>
      </c>
      <c r="J21" s="23" t="s">
        <v>296</v>
      </c>
      <c r="K21" s="24">
        <v>999</v>
      </c>
    </row>
    <row r="22" spans="1:11">
      <c r="G22" s="15"/>
      <c r="J22" s="23" t="s">
        <v>297</v>
      </c>
      <c r="K22" s="58">
        <v>0.01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4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4"/>
        <v>0</v>
      </c>
      <c r="J26" s="9" t="s">
        <v>293</v>
      </c>
      <c r="K26" s="10" t="s">
        <v>304</v>
      </c>
    </row>
    <row r="27" spans="1:11">
      <c r="F27" s="9"/>
      <c r="G27" s="15" t="b">
        <f t="shared" si="4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62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5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5"/>
        <v>0</v>
      </c>
      <c r="J32" s="9" t="s">
        <v>299</v>
      </c>
      <c r="K32" s="10" t="s">
        <v>262</v>
      </c>
    </row>
    <row r="33" spans="2:12">
      <c r="F33" s="9"/>
      <c r="G33" s="15" t="b">
        <f t="shared" si="5"/>
        <v>0</v>
      </c>
      <c r="J33" s="9" t="s">
        <v>293</v>
      </c>
      <c r="K33" s="10" t="s">
        <v>300</v>
      </c>
    </row>
    <row r="34" spans="2:12">
      <c r="G34" s="15"/>
      <c r="J34" s="9" t="s">
        <v>295</v>
      </c>
      <c r="K34" s="10">
        <v>15</v>
      </c>
      <c r="L34" s="29" t="s">
        <v>387</v>
      </c>
    </row>
    <row r="35" spans="2:12">
      <c r="F35" s="8" t="s">
        <v>351</v>
      </c>
      <c r="J35" s="9" t="s">
        <v>296</v>
      </c>
      <c r="K35" s="10">
        <v>25</v>
      </c>
      <c r="L35" s="29" t="s">
        <v>386</v>
      </c>
    </row>
    <row r="36" spans="2:12">
      <c r="F36" s="9" t="s">
        <v>302</v>
      </c>
      <c r="G36" s="15" t="b">
        <f>IF(F36="",FALSE,ISNA(VLOOKUP(F36,J:M,1,0)))</f>
        <v>0</v>
      </c>
      <c r="J36" s="9" t="s">
        <v>297</v>
      </c>
      <c r="K36" s="62">
        <v>0.1</v>
      </c>
    </row>
    <row r="37" spans="2:12">
      <c r="F37" s="9" t="s">
        <v>303</v>
      </c>
      <c r="G37" s="15" t="b">
        <f t="shared" ref="G37:G39" si="6">IF(F37="",FALSE,ISNA(VLOOKUP(F37,J:M,1,0)))</f>
        <v>0</v>
      </c>
    </row>
    <row r="38" spans="2:12">
      <c r="F38" s="9" t="s">
        <v>349</v>
      </c>
      <c r="G38" s="15" t="b">
        <f t="shared" si="6"/>
        <v>0</v>
      </c>
      <c r="J38" s="8" t="s">
        <v>348</v>
      </c>
      <c r="K38" s="8"/>
    </row>
    <row r="39" spans="2:12">
      <c r="F39" s="9"/>
      <c r="G39" s="15" t="b">
        <f t="shared" si="6"/>
        <v>0</v>
      </c>
      <c r="J39" s="9" t="s">
        <v>299</v>
      </c>
      <c r="K39" s="10" t="s">
        <v>262</v>
      </c>
    </row>
    <row r="40" spans="2:12">
      <c r="G40" s="15"/>
      <c r="J40" s="9" t="s">
        <v>293</v>
      </c>
      <c r="K40" s="10" t="s">
        <v>294</v>
      </c>
    </row>
    <row r="41" spans="2:12">
      <c r="B41" s="1" t="s">
        <v>352</v>
      </c>
      <c r="E41" s="63" t="s">
        <v>365</v>
      </c>
      <c r="F41" s="8" t="s">
        <v>363</v>
      </c>
      <c r="J41" s="9" t="s">
        <v>295</v>
      </c>
      <c r="K41" s="10">
        <v>30</v>
      </c>
    </row>
    <row r="42" spans="2:12">
      <c r="B42" s="1" t="s">
        <v>302</v>
      </c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2:12">
      <c r="B43" s="1" t="s">
        <v>303</v>
      </c>
      <c r="F43" s="9" t="s">
        <v>309</v>
      </c>
      <c r="G43" s="15" t="b">
        <f t="shared" ref="G43:G45" si="7">IF(F43="",FALSE,ISNA(VLOOKUP(F43,J:M,1,0)))</f>
        <v>0</v>
      </c>
      <c r="J43" s="9" t="s">
        <v>297</v>
      </c>
      <c r="K43" s="62">
        <v>0.3</v>
      </c>
    </row>
    <row r="44" spans="2:12">
      <c r="B44" s="1" t="s">
        <v>350</v>
      </c>
      <c r="F44" s="9"/>
      <c r="G44" s="15" t="b">
        <f t="shared" si="7"/>
        <v>0</v>
      </c>
    </row>
    <row r="45" spans="2:12">
      <c r="F45" s="9"/>
      <c r="G45" s="15" t="b">
        <f t="shared" si="7"/>
        <v>0</v>
      </c>
      <c r="J45" s="8" t="s">
        <v>349</v>
      </c>
      <c r="K45" s="8"/>
    </row>
    <row r="46" spans="2:12">
      <c r="F46" s="1" t="s">
        <v>303</v>
      </c>
      <c r="G46" s="15"/>
      <c r="J46" s="9" t="s">
        <v>299</v>
      </c>
      <c r="K46" s="10" t="s">
        <v>262</v>
      </c>
    </row>
    <row r="47" spans="2:12">
      <c r="F47" s="1" t="s">
        <v>309</v>
      </c>
      <c r="J47" s="9" t="s">
        <v>293</v>
      </c>
      <c r="K47" s="10" t="s">
        <v>305</v>
      </c>
    </row>
    <row r="48" spans="2:12">
      <c r="J48" s="9" t="s">
        <v>295</v>
      </c>
      <c r="K48" s="10">
        <v>30</v>
      </c>
    </row>
    <row r="49" spans="9:14">
      <c r="J49" s="9" t="s">
        <v>296</v>
      </c>
      <c r="K49" s="10">
        <v>50</v>
      </c>
    </row>
    <row r="50" spans="9:14">
      <c r="J50" s="9" t="s">
        <v>297</v>
      </c>
      <c r="K50" s="62">
        <v>0.8</v>
      </c>
    </row>
    <row r="52" spans="9:14">
      <c r="I52" s="64" t="s">
        <v>365</v>
      </c>
      <c r="J52" s="8" t="s">
        <v>364</v>
      </c>
      <c r="K52" s="8"/>
      <c r="M52" s="1" t="s">
        <v>350</v>
      </c>
    </row>
    <row r="53" spans="9:14">
      <c r="J53" s="9" t="s">
        <v>299</v>
      </c>
      <c r="K53" s="10" t="s">
        <v>262</v>
      </c>
      <c r="M53" s="1" t="s">
        <v>299</v>
      </c>
      <c r="N53" s="1" t="s">
        <v>262</v>
      </c>
    </row>
    <row r="54" spans="9:14">
      <c r="J54" s="9" t="s">
        <v>293</v>
      </c>
      <c r="K54" s="10" t="s">
        <v>300</v>
      </c>
      <c r="M54" s="1" t="s">
        <v>293</v>
      </c>
      <c r="N54" s="1" t="s">
        <v>307</v>
      </c>
    </row>
    <row r="55" spans="9:14">
      <c r="J55" s="9" t="s">
        <v>295</v>
      </c>
      <c r="K55" s="10">
        <v>20</v>
      </c>
      <c r="M55" s="1" t="s">
        <v>295</v>
      </c>
      <c r="N55" s="1">
        <v>30</v>
      </c>
    </row>
    <row r="56" spans="9:14">
      <c r="J56" s="9" t="s">
        <v>296</v>
      </c>
      <c r="K56" s="10">
        <v>40</v>
      </c>
      <c r="M56" s="1" t="s">
        <v>296</v>
      </c>
      <c r="N56" s="1">
        <v>50</v>
      </c>
    </row>
    <row r="57" spans="9:14">
      <c r="J57" s="9" t="s">
        <v>297</v>
      </c>
      <c r="K57" s="62">
        <v>0.9</v>
      </c>
      <c r="M57" s="1" t="s">
        <v>297</v>
      </c>
      <c r="N57" s="1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2015-11-20T04:12:26Z</dcterms:modified>
</cp:coreProperties>
</file>