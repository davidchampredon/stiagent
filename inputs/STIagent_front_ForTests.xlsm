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20360" yWindow="260" windowWidth="28280" windowHeight="276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<sst xmlns="http://schemas.openxmlformats.org/spreadsheetml/2006/main" count="475" uniqueCount="380">
  <si>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</si>
  <si>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</si>
  <si>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</si>
  <si>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</si>
  <si>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</si>
  <si>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</si>
  <si>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</si>
  <si>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</si>
  <si>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</si>
  <si>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</si>
  <si>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</si>
  <si>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</si>
  <si>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</si>
  <si>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</si>
  <si>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</si>
  <si>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</si>
  <si>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</si>
  <si>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</si>
  <si>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</si>
  <si>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</si>
  <si>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</si>
  <si>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</si>
  <si>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</si>
  <si>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</si>
  <si>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</si>
  <si>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</si>
  <si>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</si>
  <si>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</si>
  <si>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</si>
  <si>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</si>
  <si>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</si>
  <si>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</si>
  <si>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</si>
  <si>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</si>
  <si>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</si>
  <si>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</si>
  <si>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</si>
  <si>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</si>
  <si>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</si>
  <si>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</si>
  <si>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</si>
  <si>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</si>
  <si>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</si>
  <si>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</si>
  <si>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</si>
  <si>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</si>
  <si>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</si>
  <si>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</si>
  <si>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</si>
  <si>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</si>
  <si>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</si>
  <si>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</si>
  <si>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</si>
  <si>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</si>
  <si>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</si>
  <si>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</si>
  <si>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</si>
  <si>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</si>
  <si>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</si>
  <si>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</si>
  <si>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</si>
  <si>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</si>
  <si>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</si>
  <si>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</si>
  <si>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</si>
  <si>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</si>
  <si>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</si>
  <si>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</si>
  <si>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</si>
  <si>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</si>
  <si>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</si>
  <si>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</si>
  <si>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</si>
  <si>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</si>
  <si>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</si>
  <si>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</si>
  <si>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</si>
  <si>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</si>
  <si>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</si>
  <si>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</si>
  <si>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</si>
  <si>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</si>
  <si>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</si>
  <si>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</si>
  <si>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</si>
  <si>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</si>
  <si>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</si>
  <si>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</si>
  <si>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</si>
  <si>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</si>
  <si>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</si>
  <si>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</si>
  <si>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</si>
  <si>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</si>
  <si>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</si>
  <si>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</si>
  <si>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</si>
  <si>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</si>
  <si>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</si>
  <si>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</si>
  <si>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</si>
  <si>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</si>
  <si>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</si>
  <si>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</si>
  <si>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</si>
  <si>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</si>
  <si>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</si>
  <si>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</si>
  <si>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</si>
  <si>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</si>
  <si>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</si>
  <si>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</si>
  <si>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</si>
  <si>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</si>
  <si>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</si>
  <si>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</si>
  <si>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</si>
  <si>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</si>
  <si>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</si>
  <si>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</si>
  <si>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</si>
  <si>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</si>
  <si>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</si>
  <si>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</si>
  <si>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</si>
  <si>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</si>
  <si>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</si>
  <si>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</si>
  <si>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</si>
  <si>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</si>
  <si>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</si>
  <si>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</si>
  <si>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</si>
  <si>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</si>
  <si>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</si>
  <si>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</si>
  <si>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</si>
  <si>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</si>
  <si>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</si>
  <si>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</si>
  <si>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</si>
  <si>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</si>
  <si>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</si>
  <si>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</si>
  <si>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</si>
  <si>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</si>
  <si>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</si>
  <si>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</si>
  <si>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</si>
  <si>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</si>
  <si>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</si>
  <si>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</si>
  <si>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</si>
  <si>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</si>
  <si>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</si>
  <si>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</si>
  <si>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</si>
  <si>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</si>
  <si>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</si>
  <si>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</si>
  <si>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</si>
  <si>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</si>
  <si>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</si>
  <si>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</si>
  <si>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</si>
  <si>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</si>
  <si>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</si>
  <si>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</si>
  <si>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</si>
  <si>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</si>
  <si>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</si>
  <si>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</si>
  <si>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</si>
  <si>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</si>
  <si>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</si>
  <si>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</si>
  <si>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</si>
  <si>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</si>
  <si>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</si>
  <si>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</si>
  <si>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</si>
  <si>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</si>
  <si>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</si>
  <si>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</si>
  <si>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</si>
  <si>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</si>
  <si>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</si>
  <si>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</si>
  <si>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</si>
  <si>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</si>
  <si>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</si>
  <si>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</si>
  <si>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</si>
  <si>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</si>
  <si>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</si>
  <si>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</si>
  <si>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</si>
  <si>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</si>
  <si>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</si>
  <si>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</si>
  <si>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</si>
  <si>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</si>
  <si>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</si>
  <si>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</si>
  <si>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</si>
  <si>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</si>
  <si>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</si>
  <si>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</si>
  <si>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</si>
  <si>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</si>
  <si>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</si>
  <si>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</si>
  <si>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</si>
  <si>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</si>
  <si>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</si>
  <si>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</si>
  <si>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</si>
  <si>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</si>
  <si>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</si>
  <si>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</si>
  <si>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</si>
  <si>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</si>
  <si>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</si>
  <si>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</si>
  <si>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</si>
  <si>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</si>
  <si>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</si>
  <si>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</si>
  <si>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</si>
  <si>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</si>
  <si>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</si>
  <si>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</si>
  <si>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</si>
  <si>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</si>
  <si>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</si>
  <si>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</si>
  <si>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</si>
  <si>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</si>
  <si>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</si>
  <si>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</si>
  <si>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</si>
  <si>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</si>
  <si>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</si>
  <si>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</si>
  <si>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</si>
  <si>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</si>
  <si>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</si>
  <si>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</si>
  <si>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</si>
  <si>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</si>
  <si>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</si>
  <si>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</si>
  <si>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</si>
  <si>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</si>
  <si>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</si>
  <si>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</si>
  <si>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</si>
  <si>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</si>
  <si>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</si>
  <si>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</si>
  <si>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</si>
  <si>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</si>
  <si>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</si>
  <si>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</si>
  <si>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</si>
  <si>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</si>
  <si>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</si>
  <si>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</si>
  <si>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</si>
  <si>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</si>
  <si>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</si>
  <si>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</si>
  <si>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</si>
  <si>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</si>
  <si>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</si>
  <si>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</si>
  <si>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</si>
  <si>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</si>
  <si>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</si>
  <si>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</si>
  <si>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</si>
  <si>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</si>
  <si>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</si>
  <si>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</si>
  <si>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</si>
  <si>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</si>
  <si>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</si>
  <si>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</si>
  <si>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</si>
  <si>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</si>
  <si>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</si>
  <si>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</si>
  <si>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</si>
  <si>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</si>
  <si>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</si>
  <si>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</si>
  <si>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</si>
  <si>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</si>
  <si>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</si>
  <si>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</si>
  <si>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</si>
  <si>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</si>
  <si>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</si>
  <si>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</si>
  <si>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</si>
  <si>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</si>
  <si>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</si>
  <si>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</si>
  <si>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</si>
  <si>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</si>
  <si>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</si>
  <si>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</si>
  <si>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</si>
  <si>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</si>
  <si>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</si>
  <si>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</si>
  <si>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</si>
  <si>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</si>
  <si>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</si>
  <si>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</si>
  <si>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</si>
  <si>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</si>
  <si>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</si>
  <si>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</si>
  <si>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</si>
  <si>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</si>
  <si>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</si>
  <si>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</si>
  <si>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</si>
  <si>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</si>
  <si>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</si>
  <si>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</si>
  <si>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</si>
  <si>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</si>
  <si>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</si>
  <si>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</si>
  <si>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</si>
  <si>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</si>
  <si>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</si>
  <si>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</si>
  <si>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</si>
  <si>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</si>
  <si>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</si>
  <si>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</si>
  <si>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</si>
  <si>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</si>
  <si>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</si>
  <si>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</si>
  <si>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</si>
  <si>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</si>
  <si>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</si>
  <si>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</si>
  <si>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</si>
  <si>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</si>
  <si>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</si>
  <si>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</si>
  <si>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</si>
  <si>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</si>
  <si>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</si>
  <si>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</si>
  <si>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</si>
  <si>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</si>
  <si>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</si>
  <si>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</si>
  <si>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</si>
  <si>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</si>
  <si>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&lt;&lt;&lt;&lt; 30</t>
  </si>
  <si>
    <t>HIV_suscepFactor_reduc</t>
  </si>
  <si>
    <t>Tp_suscepFactor_reduc</t>
  </si>
  <si>
    <t>Ct_suscepFactor_reduc</t>
  </si>
  <si>
    <t>Ng_suscepFactor_reduc</t>
  </si>
  <si>
    <t>HSV2_suscepFactor_reduc</t>
  </si>
  <si>
    <t>HPV_suscepFactor_reduc</t>
  </si>
  <si>
    <t>Tv_suscepFactor_reduc</t>
  </si>
  <si>
    <t>Bv_suscepFactor_reduc</t>
  </si>
  <si>
    <t>Hd_suscepFactor_reduc</t>
  </si>
  <si>
    <t>Cv_suscepFactor_reduc</t>
  </si>
  <si>
    <t>in_scenario_test.csv</t>
  </si>
  <si>
    <t>interv_Tp_test.csv</t>
  </si>
  <si>
    <t>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</si>
</sst>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2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206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</cellXfs>
  <cellStyles count="320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0.02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3890392"/>
        <c:axId val="2037579128"/>
      </c:barChart>
      <c:catAx>
        <c:axId val="20838903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37579128"/>
        <c:crosses val="autoZero"/>
        <c:auto val="1"/>
        <c:lblAlgn val="ctr"/>
        <c:lblOffset val="100"/>
        <c:noMultiLvlLbl val="0"/>
      </c:catAx>
      <c:valAx>
        <c:axId val="203757912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389039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958088"/>
        <c:axId val="2083961128"/>
      </c:lineChart>
      <c:catAx>
        <c:axId val="2083958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3961128"/>
        <c:crosses val="autoZero"/>
        <c:auto val="1"/>
        <c:lblAlgn val="ctr"/>
        <c:lblOffset val="100"/>
        <c:noMultiLvlLbl val="0"/>
      </c:catAx>
      <c:valAx>
        <c:axId val="208396112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395808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996408"/>
        <c:axId val="2083999448"/>
      </c:lineChart>
      <c:catAx>
        <c:axId val="2083996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3999448"/>
        <c:crosses val="autoZero"/>
        <c:auto val="1"/>
        <c:lblAlgn val="ctr"/>
        <c:lblOffset val="100"/>
        <c:noMultiLvlLbl val="0"/>
      </c:catAx>
      <c:valAx>
        <c:axId val="208399944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8399640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025080"/>
        <c:axId val="2084028040"/>
      </c:scatterChart>
      <c:valAx>
        <c:axId val="2084025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028040"/>
        <c:crosses val="autoZero"/>
        <c:crossBetween val="midCat"/>
      </c:valAx>
      <c:valAx>
        <c:axId val="2084028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0250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7518296"/>
        <c:axId val="2037515240"/>
      </c:lineChart>
      <c:catAx>
        <c:axId val="2037518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7515240"/>
        <c:crosses val="autoZero"/>
        <c:auto val="1"/>
        <c:lblAlgn val="ctr"/>
        <c:lblOffset val="100"/>
        <c:noMultiLvlLbl val="0"/>
      </c:catAx>
      <c:valAx>
        <c:axId val="20375152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37518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460312"/>
        <c:axId val="2037457288"/>
      </c:scatterChart>
      <c:valAx>
        <c:axId val="203746031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37457288"/>
        <c:crosses val="autoZero"/>
        <c:crossBetween val="midCat"/>
        <c:majorUnit val="1.0"/>
      </c:valAx>
      <c:valAx>
        <c:axId val="2037457288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374603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055112"/>
        <c:axId val="2084058072"/>
      </c:scatterChart>
      <c:valAx>
        <c:axId val="208405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058072"/>
        <c:crosses val="autoZero"/>
        <c:crossBetween val="midCat"/>
      </c:valAx>
      <c:valAx>
        <c:axId val="208405807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0551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083976"/>
        <c:axId val="2084087016"/>
      </c:scatterChart>
      <c:valAx>
        <c:axId val="2084083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087016"/>
        <c:crosses val="autoZero"/>
        <c:crossBetween val="midCat"/>
      </c:valAx>
      <c:valAx>
        <c:axId val="20840870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40839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113512"/>
        <c:axId val="2084116456"/>
      </c:lineChart>
      <c:catAx>
        <c:axId val="2084113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116456"/>
        <c:crosses val="autoZero"/>
        <c:auto val="1"/>
        <c:lblAlgn val="ctr"/>
        <c:lblOffset val="100"/>
        <c:noMultiLvlLbl val="0"/>
      </c:catAx>
      <c:valAx>
        <c:axId val="208411645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11351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143400"/>
        <c:axId val="2084146504"/>
      </c:scatterChart>
      <c:valAx>
        <c:axId val="2084143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146504"/>
        <c:crosses val="autoZero"/>
        <c:crossBetween val="midCat"/>
      </c:valAx>
      <c:valAx>
        <c:axId val="208414650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41434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176840"/>
        <c:axId val="2084179864"/>
      </c:barChart>
      <c:catAx>
        <c:axId val="2084176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84179864"/>
        <c:crosses val="autoZero"/>
        <c:auto val="1"/>
        <c:lblAlgn val="ctr"/>
        <c:lblOffset val="100"/>
        <c:noMultiLvlLbl val="0"/>
      </c:catAx>
      <c:valAx>
        <c:axId val="208417986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8417684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977624"/>
        <c:axId val="2081982824"/>
      </c:scatterChart>
      <c:valAx>
        <c:axId val="2081977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1982824"/>
        <c:crosses val="autoZero"/>
        <c:crossBetween val="midCat"/>
      </c:valAx>
      <c:valAx>
        <c:axId val="2081982824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819776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1" sqref="C2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42318.540821759256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0.02</v>
      </c>
      <c r="N11" s="22">
        <v>0.03</v>
      </c>
      <c r="O11" s="22">
        <v>0.03</v>
      </c>
      <c r="P11" s="22">
        <v>0.03</v>
      </c>
    </row>
    <row r="12" spans="1:16">
      <c r="C12" s="16" t="s">
        <v>2</v>
      </c>
      <c r="D12" s="17">
        <v>50</v>
      </c>
      <c r="E12" s="25">
        <v>60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topLeftCell="A9" workbookViewId="0">
      <selection activeCell="G29" sqref="G29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A2" workbookViewId="0">
      <pane ySplit="13860" topLeftCell="A76"/>
      <selection activeCell="F20" sqref="F20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42240.487673611111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0.98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 t="s">
        <v>365</v>
      </c>
      <c r="L17" s="4">
        <v>0.999</v>
      </c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 t="s">
        <v>356</v>
      </c>
      <c r="L18" s="4">
        <v>0.5</v>
      </c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 t="s">
        <v>357</v>
      </c>
      <c r="L19" s="4">
        <v>0.999</v>
      </c>
    </row>
    <row r="20" spans="2:12">
      <c r="B20" s="3" t="s">
        <v>120</v>
      </c>
      <c r="C20" s="4">
        <v>0.01</v>
      </c>
      <c r="H20" s="3"/>
      <c r="I20" s="4"/>
      <c r="K20" s="3" t="s">
        <v>358</v>
      </c>
      <c r="L20" s="4">
        <v>0.999</v>
      </c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 t="s">
        <v>359</v>
      </c>
      <c r="L21" s="4">
        <v>0.999</v>
      </c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 t="s">
        <v>360</v>
      </c>
      <c r="L22" s="4">
        <v>0.999</v>
      </c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 t="s">
        <v>361</v>
      </c>
      <c r="L23" s="4">
        <v>0.999</v>
      </c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 t="s">
        <v>362</v>
      </c>
      <c r="L24" s="4">
        <v>0.999</v>
      </c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 t="s">
        <v>363</v>
      </c>
      <c r="L25" s="4">
        <v>0.999</v>
      </c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 t="s">
        <v>364</v>
      </c>
      <c r="L26" s="4">
        <v>0.999</v>
      </c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 t="s">
        <v>367</v>
      </c>
      <c r="L28" s="4">
        <v>0.999</v>
      </c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 t="s">
        <v>368</v>
      </c>
      <c r="L29" s="4">
        <v>0.5</v>
      </c>
    </row>
    <row r="30" spans="2:12">
      <c r="B30" s="35"/>
      <c r="C30" s="36"/>
      <c r="H30" s="5"/>
      <c r="I30" s="5"/>
      <c r="K30" s="3" t="s">
        <v>369</v>
      </c>
      <c r="L30" s="4">
        <v>0.999</v>
      </c>
    </row>
    <row r="31" spans="2:12">
      <c r="B31" s="3" t="s">
        <v>130</v>
      </c>
      <c r="C31" s="4">
        <v>0.1</v>
      </c>
      <c r="K31" s="3" t="s">
        <v>370</v>
      </c>
      <c r="L31" s="4">
        <v>0.999</v>
      </c>
    </row>
    <row r="32" spans="2:12">
      <c r="B32" s="3" t="s">
        <v>131</v>
      </c>
      <c r="C32" s="4">
        <v>0.9</v>
      </c>
      <c r="K32" s="3" t="s">
        <v>371</v>
      </c>
      <c r="L32" s="4">
        <v>0.999</v>
      </c>
    </row>
    <row r="33" spans="2:12">
      <c r="B33" s="3" t="s">
        <v>132</v>
      </c>
      <c r="C33" s="4">
        <v>999.99</v>
      </c>
      <c r="K33" s="3" t="s">
        <v>372</v>
      </c>
      <c r="L33" s="4">
        <v>0.999</v>
      </c>
    </row>
    <row r="34" spans="2:12">
      <c r="B34" s="3" t="s">
        <v>133</v>
      </c>
      <c r="C34" s="4">
        <v>0.2</v>
      </c>
      <c r="K34" s="3" t="s">
        <v>373</v>
      </c>
      <c r="L34" s="4">
        <v>0.999</v>
      </c>
    </row>
    <row r="35" spans="2:12">
      <c r="B35" s="3" t="s">
        <v>134</v>
      </c>
      <c r="C35" s="4">
        <v>0.2</v>
      </c>
      <c r="K35" s="3" t="s">
        <v>374</v>
      </c>
      <c r="L35" s="4">
        <v>0.999</v>
      </c>
    </row>
    <row r="36" spans="2:12">
      <c r="B36" s="3" t="s">
        <v>135</v>
      </c>
      <c r="C36" s="4">
        <v>1</v>
      </c>
      <c r="K36" s="3" t="s">
        <v>375</v>
      </c>
      <c r="L36" s="4">
        <v>0.999</v>
      </c>
    </row>
    <row r="37" spans="2:12">
      <c r="B37" s="3" t="s">
        <v>136</v>
      </c>
      <c r="C37" s="4">
        <v>1</v>
      </c>
      <c r="K37" s="3" t="s">
        <v>376</v>
      </c>
      <c r="L37" s="4">
        <v>0.999</v>
      </c>
    </row>
    <row r="38" spans="2:12">
      <c r="B38" s="3" t="s">
        <v>137</v>
      </c>
      <c r="C38" s="4">
        <v>0.2</v>
      </c>
      <c r="K38" s="3"/>
      <c r="L38" s="4"/>
    </row>
    <row r="39" spans="2:12">
      <c r="B39" s="3" t="s">
        <v>138</v>
      </c>
      <c r="C39" s="4">
        <v>12</v>
      </c>
      <c r="K39" s="3"/>
      <c r="L39" s="4"/>
    </row>
    <row r="40" spans="2:12">
      <c r="B40" s="3" t="s">
        <v>139</v>
      </c>
      <c r="C40" s="4">
        <v>0.08</v>
      </c>
      <c r="K40" s="3"/>
      <c r="L40" s="4"/>
    </row>
    <row r="41" spans="2:12">
      <c r="B41" s="3" t="s">
        <v>140</v>
      </c>
      <c r="C41" s="4">
        <v>0.1</v>
      </c>
      <c r="K41" s="5"/>
      <c r="L41" s="5"/>
    </row>
    <row r="42" spans="2:12">
      <c r="B42" s="3" t="s">
        <v>141</v>
      </c>
      <c r="C42" s="4">
        <v>0.8</v>
      </c>
    </row>
    <row r="43" spans="2:12">
      <c r="B43" s="35"/>
      <c r="C43" s="36"/>
    </row>
    <row r="44" spans="2:12">
      <c r="B44" s="3" t="s">
        <v>142</v>
      </c>
      <c r="C44" s="4">
        <v>0.1</v>
      </c>
    </row>
    <row r="45" spans="2:12">
      <c r="B45" s="3" t="s">
        <v>143</v>
      </c>
      <c r="C45" s="4">
        <v>0.9</v>
      </c>
    </row>
    <row r="46" spans="2:12">
      <c r="B46" s="3" t="s">
        <v>144</v>
      </c>
      <c r="C46" s="4">
        <v>1.5</v>
      </c>
    </row>
    <row r="47" spans="2:12">
      <c r="B47" s="3" t="s">
        <v>145</v>
      </c>
      <c r="C47" s="4">
        <v>0.05</v>
      </c>
    </row>
    <row r="48" spans="2:12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0.70005814776225506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zoomScale="125" zoomScaleNormal="125" zoomScalePageLayoutView="125" workbookViewId="0">
      <pane ySplit="3" topLeftCell="A7" activePane="bottomLeft" state="frozen"/>
      <selection pane="bottomLeft" activeCell="B33" sqref="B33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42318.540694444448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300</v>
      </c>
      <c r="K15" s="58">
        <v>0.15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2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2:12">
      <c r="F33" s="9"/>
      <c r="G33" s="15" t="b">
        <f t="shared" si="5"/>
        <v>0</v>
      </c>
      <c r="J33" s="9" t="s">
        <v>296</v>
      </c>
      <c r="K33" s="10" t="s">
        <v>303</v>
      </c>
    </row>
    <row r="34" spans="2:12">
      <c r="G34" s="15"/>
      <c r="J34" s="9" t="s">
        <v>298</v>
      </c>
      <c r="K34" s="10">
        <v>15</v>
      </c>
      <c r="L34" s="29" t="s">
        <v>366</v>
      </c>
    </row>
    <row r="35" spans="2:12">
      <c r="F35" s="8" t="s">
        <v>354</v>
      </c>
      <c r="J35" s="9" t="s">
        <v>299</v>
      </c>
      <c r="K35" s="10">
        <v>50</v>
      </c>
    </row>
    <row r="36" spans="2:12">
      <c r="F36" s="9" t="s">
        <v>305</v>
      </c>
      <c r="G36" s="15" t="b">
        <f>IF(F36="",FALSE,ISNA(VLOOKUP(F36,J:M,1,0)))</f>
        <v>0</v>
      </c>
      <c r="J36" s="9" t="s">
        <v>300</v>
      </c>
      <c r="K36" s="62">
        <v>0.1</v>
      </c>
    </row>
    <row r="37" spans="2:12">
      <c r="F37" s="9" t="s">
        <v>306</v>
      </c>
      <c r="G37" s="15" t="b">
        <f t="shared" ref="G37:G39" si="6">IF(F37="",FALSE,ISNA(VLOOKUP(F37,J:M,1,0)))</f>
        <v>0</v>
      </c>
    </row>
    <row r="38" spans="2:12">
      <c r="F38" s="9" t="s">
        <v>352</v>
      </c>
      <c r="G38" s="15" t="b">
        <f t="shared" si="6"/>
        <v>0</v>
      </c>
      <c r="J38" s="8" t="s">
        <v>351</v>
      </c>
      <c r="K38" s="8"/>
    </row>
    <row r="39" spans="2:12">
      <c r="F39" s="9"/>
      <c r="G39" s="15" t="b">
        <f t="shared" si="6"/>
        <v>0</v>
      </c>
      <c r="J39" s="9" t="s">
        <v>302</v>
      </c>
      <c r="K39" s="10" t="s">
        <v>265</v>
      </c>
    </row>
    <row r="40" spans="2:12">
      <c r="G40" s="15"/>
      <c r="J40" s="9" t="s">
        <v>296</v>
      </c>
      <c r="K40" s="10" t="s">
        <v>297</v>
      </c>
    </row>
    <row r="41" spans="2:12">
      <c r="B41" s="1" t="s">
        <v>355</v>
      </c>
      <c r="E41" s="63" t="s">
        <v>379</v>
      </c>
      <c r="F41" s="8" t="s">
        <v>377</v>
      </c>
      <c r="J41" s="9" t="s">
        <v>298</v>
      </c>
      <c r="K41" s="10">
        <v>30</v>
      </c>
    </row>
    <row r="42" spans="2:12">
      <c r="B42" s="1" t="s">
        <v>305</v>
      </c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2:12">
      <c r="B43" s="1" t="s">
        <v>306</v>
      </c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62">
        <v>0.3</v>
      </c>
    </row>
    <row r="44" spans="2:12">
      <c r="B44" s="1" t="s">
        <v>353</v>
      </c>
      <c r="F44" s="9" t="s">
        <v>378</v>
      </c>
      <c r="G44" s="15" t="b">
        <f t="shared" si="7"/>
        <v>0</v>
      </c>
    </row>
    <row r="45" spans="2:12">
      <c r="F45" s="9"/>
      <c r="G45" s="15" t="b">
        <f t="shared" si="7"/>
        <v>0</v>
      </c>
      <c r="J45" s="8" t="s">
        <v>352</v>
      </c>
      <c r="K45" s="8"/>
    </row>
    <row r="46" spans="2:12">
      <c r="G46" s="15"/>
      <c r="J46" s="9" t="s">
        <v>302</v>
      </c>
      <c r="K46" s="10" t="s">
        <v>265</v>
      </c>
    </row>
    <row r="47" spans="2:12">
      <c r="J47" s="9" t="s">
        <v>296</v>
      </c>
      <c r="K47" s="10" t="s">
        <v>308</v>
      </c>
    </row>
    <row r="48" spans="2:12">
      <c r="J48" s="9" t="s">
        <v>298</v>
      </c>
      <c r="K48" s="10">
        <v>30</v>
      </c>
    </row>
    <row r="49" spans="9:14">
      <c r="J49" s="9" t="s">
        <v>299</v>
      </c>
      <c r="K49" s="10">
        <v>50</v>
      </c>
    </row>
    <row r="50" spans="9:14">
      <c r="J50" s="9" t="s">
        <v>300</v>
      </c>
      <c r="K50" s="62">
        <v>0.8</v>
      </c>
    </row>
    <row r="52" spans="9:14">
      <c r="I52" s="64" t="s">
        <v>379</v>
      </c>
      <c r="J52" s="8" t="s">
        <v>378</v>
      </c>
      <c r="K52" s="8"/>
      <c r="M52" s="1" t="s">
        <v>353</v>
      </c>
    </row>
    <row r="53" spans="9:14">
      <c r="J53" s="9" t="s">
        <v>302</v>
      </c>
      <c r="K53" s="10" t="s">
        <v>265</v>
      </c>
      <c r="M53" s="1" t="s">
        <v>302</v>
      </c>
      <c r="N53" s="1" t="s">
        <v>265</v>
      </c>
    </row>
    <row r="54" spans="9:14">
      <c r="J54" s="9" t="s">
        <v>296</v>
      </c>
      <c r="K54" s="10" t="s">
        <v>297</v>
      </c>
      <c r="M54" s="1" t="s">
        <v>296</v>
      </c>
      <c r="N54" s="1" t="s">
        <v>310</v>
      </c>
    </row>
    <row r="55" spans="9:14">
      <c r="J55" s="9" t="s">
        <v>298</v>
      </c>
      <c r="K55" s="10">
        <v>30</v>
      </c>
      <c r="M55" s="1" t="s">
        <v>298</v>
      </c>
      <c r="N55" s="1">
        <v>30</v>
      </c>
    </row>
    <row r="56" spans="9:14">
      <c r="J56" s="9" t="s">
        <v>299</v>
      </c>
      <c r="K56" s="10">
        <v>40</v>
      </c>
      <c r="M56" s="1" t="s">
        <v>299</v>
      </c>
      <c r="N56" s="1">
        <v>50</v>
      </c>
    </row>
    <row r="57" spans="9:14">
      <c r="J57" s="9" t="s">
        <v>300</v>
      </c>
      <c r="K57" s="62">
        <v>0.9</v>
      </c>
      <c r="M57" s="1" t="s">
        <v>300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2015-11-11T16:45:40Z</dcterms:modified>
</cp:coreProperties>
</file>