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3120" yWindow="0" windowWidth="25600" windowHeight="1606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<sst xmlns="http://schemas.openxmlformats.org/spreadsheetml/2006/main" count="443" uniqueCount="356">
  <si>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</si>
  <si>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</si>
  <si>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</si>
  <si>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</si>
  <si>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</si>
  <si>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</si>
  <si>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</si>
  <si>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</si>
  <si>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</si>
  <si>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</si>
  <si>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</si>
  <si>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</si>
  <si>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</si>
  <si>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</si>
  <si>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</si>
  <si>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</si>
  <si>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</si>
  <si>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</si>
  <si>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</si>
  <si>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</si>
  <si>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</si>
  <si>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</si>
  <si>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</si>
  <si>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</si>
  <si>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</si>
  <si>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</si>
  <si>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</si>
  <si>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</si>
  <si>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</si>
  <si>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</si>
  <si>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</si>
  <si>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</si>
  <si>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</si>
  <si>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</si>
  <si>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</si>
  <si>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</si>
  <si>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</si>
  <si>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</si>
  <si>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</si>
  <si>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</si>
  <si>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</si>
  <si>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</si>
  <si>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</si>
  <si>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</si>
  <si>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</si>
  <si>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</si>
  <si>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</si>
  <si>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</si>
  <si>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</si>
  <si>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</si>
  <si>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</si>
  <si>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</si>
  <si>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</si>
  <si>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</si>
  <si>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</si>
  <si>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</si>
  <si>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</si>
  <si>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</si>
  <si>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</si>
  <si>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</si>
  <si>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</si>
  <si>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</si>
  <si>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</si>
  <si>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</si>
  <si>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</si>
  <si>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</si>
  <si>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</si>
  <si>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</si>
  <si>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</si>
  <si>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</si>
  <si>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</si>
  <si>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</si>
  <si>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</si>
  <si>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</si>
  <si>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</si>
  <si>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</si>
  <si>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</si>
  <si>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</si>
  <si>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</si>
  <si>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</si>
  <si>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</si>
  <si>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</si>
  <si>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</si>
  <si>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</si>
  <si>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</si>
  <si>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</si>
  <si>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</si>
  <si>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</si>
  <si>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</si>
  <si>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</si>
  <si>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</si>
  <si>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</si>
  <si>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</si>
  <si>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</si>
  <si>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</si>
  <si>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</si>
  <si>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</si>
  <si>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</si>
  <si>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</si>
  <si>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</si>
  <si>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</si>
  <si>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</si>
  <si>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</si>
  <si>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</si>
  <si>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</si>
  <si>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</si>
  <si>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</si>
  <si>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</si>
  <si>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</si>
  <si>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</si>
  <si>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</si>
  <si>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</si>
  <si>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</si>
  <si>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</si>
  <si>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</si>
  <si>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</si>
  <si>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</si>
  <si>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</si>
  <si>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</si>
  <si>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</si>
  <si>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</si>
  <si>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</si>
  <si>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</si>
  <si>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</si>
  <si>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</si>
  <si>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</si>
  <si>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</si>
  <si>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</si>
  <si>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</si>
  <si>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</si>
  <si>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</si>
  <si>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</si>
  <si>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</si>
  <si>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</si>
  <si>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</si>
  <si>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</si>
  <si>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</si>
  <si>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</si>
  <si>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</si>
  <si>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</si>
  <si>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</si>
  <si>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</si>
  <si>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</si>
  <si>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</si>
  <si>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</si>
  <si>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</si>
  <si>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</si>
  <si>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</si>
  <si>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</si>
  <si>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</si>
  <si>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</si>
  <si>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</si>
  <si>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</si>
  <si>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</si>
  <si>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</si>
  <si>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</si>
  <si>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</si>
  <si>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</si>
  <si>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</si>
  <si>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</si>
  <si>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</si>
  <si>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</si>
  <si>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</si>
  <si>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</si>
  <si>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</si>
  <si>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</si>
  <si>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</si>
  <si>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</si>
  <si>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</si>
  <si>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</si>
  <si>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</si>
  <si>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</si>
  <si>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</si>
  <si>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</si>
  <si>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</si>
  <si>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</si>
  <si>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</si>
  <si>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</si>
  <si>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</si>
  <si>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</si>
  <si>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</si>
  <si>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</si>
  <si>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</si>
  <si>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</si>
  <si>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</si>
  <si>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</si>
  <si>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</si>
  <si>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</si>
  <si>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</si>
  <si>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</si>
  <si>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</si>
  <si>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</si>
  <si>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</si>
  <si>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</si>
  <si>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</si>
  <si>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</si>
  <si>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</si>
  <si>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</si>
  <si>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</si>
  <si>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</si>
  <si>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</si>
  <si>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</si>
  <si>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</si>
  <si>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</si>
  <si>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</si>
  <si>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</si>
  <si>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</si>
  <si>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</si>
  <si>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</si>
  <si>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</si>
  <si>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</si>
  <si>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</si>
  <si>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</si>
  <si>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</si>
  <si>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</si>
  <si>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</si>
  <si>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</si>
  <si>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</si>
  <si>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</si>
  <si>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</si>
  <si>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</si>
  <si>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</si>
  <si>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</si>
  <si>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</si>
  <si>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</si>
  <si>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</si>
  <si>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</si>
  <si>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</si>
  <si>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</si>
  <si>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</si>
  <si>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</si>
  <si>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</si>
  <si>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</si>
  <si>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</si>
  <si>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</si>
  <si>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</si>
  <si>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</si>
  <si>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</si>
  <si>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</si>
  <si>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</si>
  <si>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</si>
  <si>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</si>
  <si>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</si>
  <si>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</si>
  <si>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</si>
  <si>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</si>
  <si>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</si>
  <si>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</si>
  <si>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</si>
  <si>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</si>
  <si>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</si>
  <si>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</si>
  <si>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</si>
  <si>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</si>
  <si>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</si>
  <si>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</si>
  <si>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</si>
  <si>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</si>
  <si>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</si>
  <si>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</si>
  <si>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</si>
  <si>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</si>
  <si>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</si>
  <si>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</si>
  <si>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</si>
  <si>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</si>
  <si>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</si>
  <si>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</si>
  <si>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</si>
  <si>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</si>
  <si>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</si>
  <si>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</si>
  <si>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</si>
  <si>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</si>
  <si>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</si>
  <si>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</si>
  <si>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</si>
  <si>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</si>
  <si>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</si>
  <si>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</si>
  <si>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</si>
  <si>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</si>
  <si>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</si>
  <si>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</si>
  <si>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</si>
  <si>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</si>
  <si>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</si>
  <si>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</si>
  <si>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</si>
  <si>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</si>
  <si>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</si>
  <si>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</si>
  <si>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</si>
  <si>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</si>
  <si>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</si>
  <si>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</si>
  <si>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</si>
  <si>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</si>
  <si>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</si>
  <si>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</si>
  <si>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</si>
  <si>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</si>
  <si>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</si>
  <si>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</si>
  <si>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</si>
  <si>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</si>
  <si>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</si>
  <si>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</si>
  <si>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</si>
  <si>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</si>
  <si>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</si>
  <si>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</si>
  <si>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</si>
  <si>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</si>
  <si>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</si>
  <si>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</si>
  <si>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</si>
  <si>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</si>
  <si>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</si>
  <si>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</si>
  <si>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</si>
  <si>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</si>
  <si>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</si>
  <si>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</si>
  <si>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</si>
  <si>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</si>
  <si>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</si>
  <si>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</si>
  <si>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</si>
  <si>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</si>
  <si>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</si>
  <si>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</si>
  <si>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</si>
  <si>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</si>
  <si>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</si>
  <si>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</si>
  <si>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</si>
  <si>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</si>
  <si>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</si>
  <si>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</si>
  <si>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</si>
  <si>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</si>
  <si>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</si>
  <si>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</si>
  <si>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</si>
  <si>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</si>
  <si>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</si>
  <si>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</si>
  <si>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</si>
  <si>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</si>
  <si>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</si>
  <si>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</si>
  <si>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</si>
  <si>
    <t>founder_size</t>
  </si>
  <si>
    <t>founder_femprop</t>
  </si>
  <si>
    <t>founder_cswprop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</si>
</sst>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1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794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164" fontId="0" fillId="7" borderId="0" xfId="0" applyNumberFormat="1" applyFill="1" applyAlignment="1">
      <alignment horizontal="center"/>
    </xf>
  </cellXfs>
  <cellStyles count="279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0.5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3321864"/>
        <c:axId val="2063350568"/>
      </c:barChart>
      <c:catAx>
        <c:axId val="2063321864"/>
        <c:scaling>
          <c:orientation val="minMax"/>
        </c:scaling>
        <c:delete val="0"/>
        <c:axPos val="b"/>
        <c:majorTickMark val="none"/>
        <c:minorTickMark val="none"/>
        <c:tickLblPos val="nextTo"/>
        <c:crossAx val="2063350568"/>
        <c:crosses val="autoZero"/>
        <c:auto val="1"/>
        <c:lblAlgn val="ctr"/>
        <c:lblOffset val="100"/>
        <c:noMultiLvlLbl val="0"/>
      </c:catAx>
      <c:valAx>
        <c:axId val="2063350568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6332186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100472"/>
        <c:axId val="2130010536"/>
      </c:scatterChart>
      <c:valAx>
        <c:axId val="2130100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30010536"/>
        <c:crosses val="autoZero"/>
        <c:crossBetween val="midCat"/>
      </c:valAx>
      <c:valAx>
        <c:axId val="2130010536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3010047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455208"/>
        <c:axId val="2123630872"/>
      </c:lineChart>
      <c:catAx>
        <c:axId val="2072455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23630872"/>
        <c:crosses val="autoZero"/>
        <c:auto val="1"/>
        <c:lblAlgn val="ctr"/>
        <c:lblOffset val="100"/>
        <c:noMultiLvlLbl val="0"/>
      </c:catAx>
      <c:valAx>
        <c:axId val="2123630872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7245520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0037000"/>
        <c:axId val="2124215816"/>
      </c:lineChart>
      <c:catAx>
        <c:axId val="2130037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24215816"/>
        <c:crosses val="autoZero"/>
        <c:auto val="1"/>
        <c:lblAlgn val="ctr"/>
        <c:lblOffset val="100"/>
        <c:noMultiLvlLbl val="0"/>
      </c:catAx>
      <c:valAx>
        <c:axId val="2124215816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3003700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173544"/>
        <c:axId val="2072176280"/>
      </c:scatterChart>
      <c:valAx>
        <c:axId val="2072173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176280"/>
        <c:crosses val="autoZero"/>
        <c:crossBetween val="midCat"/>
      </c:valAx>
      <c:valAx>
        <c:axId val="2072176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21735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946232"/>
        <c:axId val="2130096728"/>
      </c:lineChart>
      <c:catAx>
        <c:axId val="2129946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0096728"/>
        <c:crosses val="autoZero"/>
        <c:auto val="1"/>
        <c:lblAlgn val="ctr"/>
        <c:lblOffset val="100"/>
        <c:noMultiLvlLbl val="0"/>
      </c:catAx>
      <c:valAx>
        <c:axId val="213009672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9946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008216"/>
        <c:axId val="2109078536"/>
      </c:scatterChart>
      <c:valAx>
        <c:axId val="2072008216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09078536"/>
        <c:crosses val="autoZero"/>
        <c:crossBetween val="midCat"/>
        <c:majorUnit val="1.0"/>
      </c:valAx>
      <c:valAx>
        <c:axId val="2109078536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7200821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066344"/>
        <c:axId val="2072062088"/>
      </c:scatterChart>
      <c:valAx>
        <c:axId val="2072066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062088"/>
        <c:crosses val="autoZero"/>
        <c:crossBetween val="midCat"/>
      </c:valAx>
      <c:valAx>
        <c:axId val="2072062088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20663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993256"/>
        <c:axId val="2108996280"/>
      </c:scatterChart>
      <c:valAx>
        <c:axId val="2108993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8996280"/>
        <c:crosses val="autoZero"/>
        <c:crossBetween val="midCat"/>
      </c:valAx>
      <c:valAx>
        <c:axId val="210899628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899325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9015672"/>
        <c:axId val="2109018616"/>
      </c:lineChart>
      <c:catAx>
        <c:axId val="2109015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9018616"/>
        <c:crosses val="autoZero"/>
        <c:auto val="1"/>
        <c:lblAlgn val="ctr"/>
        <c:lblOffset val="100"/>
        <c:noMultiLvlLbl val="0"/>
      </c:catAx>
      <c:valAx>
        <c:axId val="210901861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9015672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968088"/>
        <c:axId val="2108971176"/>
      </c:scatterChart>
      <c:valAx>
        <c:axId val="2108968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8971176"/>
        <c:crosses val="autoZero"/>
        <c:crossBetween val="midCat"/>
      </c:valAx>
      <c:valAx>
        <c:axId val="210897117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896808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9347976"/>
        <c:axId val="2109364264"/>
      </c:barChart>
      <c:catAx>
        <c:axId val="21093479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09364264"/>
        <c:crosses val="autoZero"/>
        <c:auto val="1"/>
        <c:lblAlgn val="ctr"/>
        <c:lblOffset val="100"/>
        <c:noMultiLvlLbl val="0"/>
      </c:catAx>
      <c:valAx>
        <c:axId val="2109364264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0934797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topLeftCell="A4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42333.59716435185</v>
      </c>
    </row>
    <row r="9" spans="1:16" ht="18">
      <c r="C9" s="6" t="s">
        <v>7</v>
      </c>
      <c r="D9" s="5"/>
      <c r="E9" s="25"/>
      <c r="F9" s="6" t="s">
        <v>301</v>
      </c>
      <c r="G9" s="5"/>
      <c r="I9" s="6" t="s">
        <v>17</v>
      </c>
      <c r="J9" s="5"/>
      <c r="L9" s="30" t="s">
        <v>310</v>
      </c>
      <c r="M9" s="27" t="s">
        <v>311</v>
      </c>
      <c r="N9" s="27" t="s">
        <v>312</v>
      </c>
      <c r="O9" s="27" t="s">
        <v>313</v>
      </c>
      <c r="P9" s="27" t="s">
        <v>314</v>
      </c>
    </row>
    <row r="10" spans="1:16">
      <c r="C10" s="3" t="s">
        <v>0</v>
      </c>
      <c r="D10" s="4">
        <v>50</v>
      </c>
      <c r="E10" s="25">
        <v>50</v>
      </c>
      <c r="F10" s="3" t="s">
        <v>353</v>
      </c>
      <c r="G10" s="4">
        <v>1000</v>
      </c>
      <c r="I10" s="3" t="s">
        <v>8</v>
      </c>
      <c r="J10" s="22">
        <v>0.03</v>
      </c>
      <c r="L10" s="4" t="s">
        <v>255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30</v>
      </c>
      <c r="E11" s="25"/>
      <c r="F11" s="3" t="s">
        <v>354</v>
      </c>
      <c r="G11" s="4">
        <v>0.5</v>
      </c>
      <c r="I11" s="3" t="s">
        <v>9</v>
      </c>
      <c r="J11" s="4">
        <v>0.05</v>
      </c>
      <c r="L11" s="4" t="s">
        <v>262</v>
      </c>
      <c r="M11" s="22">
        <v>0.1</v>
      </c>
      <c r="N11" s="22">
        <v>0.15</v>
      </c>
      <c r="O11" s="22">
        <v>0.5</v>
      </c>
      <c r="P11" s="22">
        <v>0.5</v>
      </c>
    </row>
    <row r="12" spans="1:16">
      <c r="C12" s="16" t="s">
        <v>2</v>
      </c>
      <c r="D12" s="17">
        <v>50</v>
      </c>
      <c r="E12" s="25">
        <v>50</v>
      </c>
      <c r="F12" s="3" t="s">
        <v>355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30</v>
      </c>
      <c r="E13" s="25"/>
      <c r="F13" s="16" t="s">
        <v>58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6</v>
      </c>
      <c r="E14" s="25"/>
      <c r="F14" s="18" t="s">
        <v>59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3</v>
      </c>
      <c r="E15" s="25"/>
      <c r="F15" s="18" t="s">
        <v>60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61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62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29" t="s">
        <v>311</v>
      </c>
      <c r="N30" s="29" t="s">
        <v>312</v>
      </c>
      <c r="O30" s="29" t="s">
        <v>313</v>
      </c>
      <c r="P30" s="29" t="s">
        <v>314</v>
      </c>
    </row>
    <row r="31" spans="3:16">
      <c r="L31" s="1" t="s">
        <v>255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262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:P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activeCell="A7" sqref="A7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16.28515625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42185.988530092596</v>
      </c>
      <c r="N3" s="32" t="s">
        <v>316</v>
      </c>
    </row>
    <row r="4" spans="1:16">
      <c r="N4" s="32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30" t="s">
        <v>315</v>
      </c>
      <c r="O5" s="30"/>
      <c r="P5" s="5"/>
    </row>
    <row r="6" spans="1:16">
      <c r="B6" s="4" t="s">
        <v>104</v>
      </c>
      <c r="C6" s="4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31"/>
      <c r="O6" s="31" t="s">
        <v>255</v>
      </c>
      <c r="P6" s="31" t="s">
        <v>262</v>
      </c>
    </row>
    <row r="7" spans="1:16">
      <c r="B7" s="4" t="s">
        <v>105</v>
      </c>
      <c r="C7" s="4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55">
        <v>0.2</v>
      </c>
      <c r="N7" s="31" t="s">
        <v>255</v>
      </c>
      <c r="O7" s="59">
        <v>1</v>
      </c>
      <c r="P7" s="59">
        <v>2.5</v>
      </c>
    </row>
    <row r="8" spans="1:16">
      <c r="B8" s="4" t="s">
        <v>106</v>
      </c>
      <c r="C8" s="4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31" t="s">
        <v>262</v>
      </c>
      <c r="O8" s="59">
        <v>1</v>
      </c>
      <c r="P8" s="59">
        <v>1</v>
      </c>
    </row>
    <row r="9" spans="1:16">
      <c r="B9" s="4" t="s">
        <v>107</v>
      </c>
      <c r="C9" s="4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4" t="s">
        <v>108</v>
      </c>
      <c r="C10" s="4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4" t="s">
        <v>109</v>
      </c>
      <c r="C11" s="4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0.05</v>
      </c>
    </row>
    <row r="12" spans="1:16">
      <c r="B12" s="4" t="s">
        <v>110</v>
      </c>
      <c r="C12" s="4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4" t="s">
        <v>111</v>
      </c>
      <c r="C13" s="4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4" t="s">
        <v>112</v>
      </c>
      <c r="C14" s="4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4" t="s">
        <v>113</v>
      </c>
      <c r="C15" s="4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35"/>
      <c r="C16" s="36"/>
      <c r="E16" s="5"/>
      <c r="F16" s="5"/>
      <c r="H16" s="3" t="s">
        <v>276</v>
      </c>
      <c r="I16" s="4">
        <v>0.01</v>
      </c>
      <c r="K16" s="3"/>
      <c r="L16" s="4"/>
    </row>
    <row r="17" spans="2:12">
      <c r="B17" s="3" t="s">
        <v>114</v>
      </c>
      <c r="C17" s="4">
        <v>6</v>
      </c>
      <c r="H17" s="3" t="s">
        <v>277</v>
      </c>
      <c r="I17" s="4">
        <v>0.01</v>
      </c>
      <c r="K17" s="3"/>
      <c r="L17" s="4"/>
    </row>
    <row r="18" spans="2:12">
      <c r="B18" s="3" t="s">
        <v>115</v>
      </c>
      <c r="C18" s="4">
        <v>2</v>
      </c>
      <c r="H18" s="3" t="s">
        <v>278</v>
      </c>
      <c r="I18" s="4">
        <v>0.01</v>
      </c>
      <c r="K18" s="3"/>
      <c r="L18" s="4"/>
    </row>
    <row r="19" spans="2:12">
      <c r="B19" s="3" t="s">
        <v>116</v>
      </c>
      <c r="C19" s="4">
        <v>2</v>
      </c>
      <c r="H19" s="3" t="s">
        <v>279</v>
      </c>
      <c r="I19" s="4">
        <v>0.01</v>
      </c>
      <c r="K19" s="3"/>
      <c r="L19" s="4"/>
    </row>
    <row r="20" spans="2:12">
      <c r="B20" s="3" t="s">
        <v>117</v>
      </c>
      <c r="C20" s="4">
        <v>0.01</v>
      </c>
      <c r="H20" s="3"/>
      <c r="I20" s="4"/>
      <c r="K20" s="3"/>
      <c r="L20" s="4"/>
    </row>
    <row r="21" spans="2:12">
      <c r="B21" s="3" t="s">
        <v>118</v>
      </c>
      <c r="C21" s="4">
        <v>6</v>
      </c>
      <c r="H21" s="3" t="s">
        <v>280</v>
      </c>
      <c r="I21" s="4">
        <v>0.25</v>
      </c>
      <c r="K21" s="3"/>
      <c r="L21" s="4"/>
    </row>
    <row r="22" spans="2:12">
      <c r="B22" s="3" t="s">
        <v>119</v>
      </c>
      <c r="C22" s="4">
        <v>0.4</v>
      </c>
      <c r="H22" s="3" t="s">
        <v>281</v>
      </c>
      <c r="I22" s="4">
        <v>3.0000000000000001E-3</v>
      </c>
      <c r="K22" s="3"/>
      <c r="L22" s="4"/>
    </row>
    <row r="23" spans="2:12">
      <c r="B23" s="3" t="s">
        <v>120</v>
      </c>
      <c r="C23" s="4">
        <v>1</v>
      </c>
      <c r="H23" s="3" t="s">
        <v>282</v>
      </c>
      <c r="I23" s="4">
        <v>0.01</v>
      </c>
      <c r="K23" s="3"/>
      <c r="L23" s="4"/>
    </row>
    <row r="24" spans="2:12">
      <c r="B24" s="3" t="s">
        <v>121</v>
      </c>
      <c r="C24" s="4">
        <v>0.06</v>
      </c>
      <c r="H24" s="3" t="s">
        <v>283</v>
      </c>
      <c r="I24" s="4">
        <v>0.05</v>
      </c>
      <c r="K24" s="3"/>
      <c r="L24" s="4"/>
    </row>
    <row r="25" spans="2:12">
      <c r="B25" s="3" t="s">
        <v>122</v>
      </c>
      <c r="C25" s="4">
        <v>0.1</v>
      </c>
      <c r="H25" s="3" t="s">
        <v>284</v>
      </c>
      <c r="I25" s="4">
        <v>0.01</v>
      </c>
      <c r="K25" s="3"/>
      <c r="L25" s="4"/>
    </row>
    <row r="26" spans="2:12">
      <c r="B26" s="3" t="s">
        <v>123</v>
      </c>
      <c r="C26" s="4">
        <v>999.99</v>
      </c>
      <c r="H26" s="3" t="s">
        <v>285</v>
      </c>
      <c r="I26" s="4">
        <v>0.01</v>
      </c>
      <c r="K26" s="3"/>
      <c r="L26" s="4"/>
    </row>
    <row r="27" spans="2:12">
      <c r="B27" s="3" t="s">
        <v>124</v>
      </c>
      <c r="C27" s="4">
        <v>0</v>
      </c>
      <c r="H27" s="3" t="s">
        <v>286</v>
      </c>
      <c r="I27" s="4">
        <v>0.01</v>
      </c>
      <c r="K27" s="3"/>
      <c r="L27" s="4"/>
    </row>
    <row r="28" spans="2:12">
      <c r="B28" s="3" t="s">
        <v>125</v>
      </c>
      <c r="C28" s="4">
        <v>0</v>
      </c>
      <c r="H28" s="3" t="s">
        <v>287</v>
      </c>
      <c r="I28" s="4">
        <v>0.01</v>
      </c>
      <c r="K28" s="3"/>
      <c r="L28" s="4"/>
    </row>
    <row r="29" spans="2:12">
      <c r="B29" s="3" t="s">
        <v>126</v>
      </c>
      <c r="C29" s="4">
        <v>0.5</v>
      </c>
      <c r="H29" s="3" t="s">
        <v>288</v>
      </c>
      <c r="I29" s="4">
        <v>0.01</v>
      </c>
      <c r="K29" s="3"/>
      <c r="L29" s="4"/>
    </row>
    <row r="30" spans="2:12">
      <c r="B30" s="35"/>
      <c r="C30" s="36"/>
      <c r="H30" s="5"/>
      <c r="I30" s="5"/>
      <c r="K30" s="5"/>
      <c r="L30" s="5"/>
    </row>
    <row r="31" spans="2:12">
      <c r="B31" s="3" t="s">
        <v>127</v>
      </c>
      <c r="C31" s="4">
        <v>0.1</v>
      </c>
    </row>
    <row r="32" spans="2:12">
      <c r="B32" s="3" t="s">
        <v>128</v>
      </c>
      <c r="C32" s="4">
        <v>0.9</v>
      </c>
    </row>
    <row r="33" spans="2:3">
      <c r="B33" s="3" t="s">
        <v>129</v>
      </c>
      <c r="C33" s="4">
        <v>999.99</v>
      </c>
    </row>
    <row r="34" spans="2:3">
      <c r="B34" s="3" t="s">
        <v>130</v>
      </c>
      <c r="C34" s="4">
        <v>0.2</v>
      </c>
    </row>
    <row r="35" spans="2:3">
      <c r="B35" s="3" t="s">
        <v>131</v>
      </c>
      <c r="C35" s="4">
        <v>0.2</v>
      </c>
    </row>
    <row r="36" spans="2:3">
      <c r="B36" s="3" t="s">
        <v>132</v>
      </c>
      <c r="C36" s="4">
        <v>1</v>
      </c>
    </row>
    <row r="37" spans="2:3">
      <c r="B37" s="3" t="s">
        <v>133</v>
      </c>
      <c r="C37" s="4">
        <v>1</v>
      </c>
    </row>
    <row r="38" spans="2:3">
      <c r="B38" s="3" t="s">
        <v>134</v>
      </c>
      <c r="C38" s="4">
        <v>0.2</v>
      </c>
    </row>
    <row r="39" spans="2:3">
      <c r="B39" s="3" t="s">
        <v>135</v>
      </c>
      <c r="C39" s="4">
        <v>12</v>
      </c>
    </row>
    <row r="40" spans="2:3">
      <c r="B40" s="3" t="s">
        <v>136</v>
      </c>
      <c r="C40" s="4">
        <v>0.08</v>
      </c>
    </row>
    <row r="41" spans="2:3">
      <c r="B41" s="3" t="s">
        <v>137</v>
      </c>
      <c r="C41" s="4">
        <v>0.1</v>
      </c>
    </row>
    <row r="42" spans="2:3">
      <c r="B42" s="3" t="s">
        <v>138</v>
      </c>
      <c r="C42" s="4">
        <v>0.8</v>
      </c>
    </row>
    <row r="43" spans="2:3">
      <c r="B43" s="35"/>
      <c r="C43" s="36"/>
    </row>
    <row r="44" spans="2:3">
      <c r="B44" s="3" t="s">
        <v>139</v>
      </c>
      <c r="C44" s="4">
        <v>0.1</v>
      </c>
    </row>
    <row r="45" spans="2:3">
      <c r="B45" s="3" t="s">
        <v>140</v>
      </c>
      <c r="C45" s="4">
        <v>0.9</v>
      </c>
    </row>
    <row r="46" spans="2:3">
      <c r="B46" s="3" t="s">
        <v>141</v>
      </c>
      <c r="C46" s="4">
        <v>1.5</v>
      </c>
    </row>
    <row r="47" spans="2:3">
      <c r="B47" s="3" t="s">
        <v>142</v>
      </c>
      <c r="C47" s="4">
        <v>0.05</v>
      </c>
    </row>
    <row r="48" spans="2:3">
      <c r="B48" s="3" t="s">
        <v>143</v>
      </c>
      <c r="C48" s="4">
        <v>0.05</v>
      </c>
    </row>
    <row r="49" spans="2:3">
      <c r="B49" s="3" t="s">
        <v>144</v>
      </c>
      <c r="C49" s="4">
        <v>16</v>
      </c>
    </row>
    <row r="50" spans="2:3">
      <c r="B50" s="3" t="s">
        <v>145</v>
      </c>
      <c r="C50" s="4">
        <v>32</v>
      </c>
    </row>
    <row r="51" spans="2:3">
      <c r="B51" s="3" t="s">
        <v>146</v>
      </c>
      <c r="C51" s="4">
        <v>0.2</v>
      </c>
    </row>
    <row r="52" spans="2:3">
      <c r="B52" s="3" t="s">
        <v>147</v>
      </c>
      <c r="C52" s="4">
        <v>0.1</v>
      </c>
    </row>
    <row r="53" spans="2:3">
      <c r="B53" s="3" t="s">
        <v>148</v>
      </c>
      <c r="C53" s="4">
        <v>0.7</v>
      </c>
    </row>
    <row r="54" spans="2:3">
      <c r="B54" s="35"/>
      <c r="C54" s="36"/>
    </row>
    <row r="55" spans="2:3">
      <c r="B55" s="3" t="s">
        <v>149</v>
      </c>
      <c r="C55" s="4">
        <v>0.2</v>
      </c>
    </row>
    <row r="56" spans="2:3">
      <c r="B56" s="3" t="s">
        <v>150</v>
      </c>
      <c r="C56" s="4">
        <v>0.9</v>
      </c>
    </row>
    <row r="57" spans="2:3">
      <c r="B57" s="3" t="s">
        <v>151</v>
      </c>
      <c r="C57" s="4">
        <v>1</v>
      </c>
    </row>
    <row r="58" spans="2:3">
      <c r="B58" s="3" t="s">
        <v>152</v>
      </c>
      <c r="C58" s="4">
        <v>0.2</v>
      </c>
    </row>
    <row r="59" spans="2:3">
      <c r="B59" s="3" t="s">
        <v>153</v>
      </c>
      <c r="C59" s="4">
        <v>0.2</v>
      </c>
    </row>
    <row r="60" spans="2:3">
      <c r="B60" s="3" t="s">
        <v>154</v>
      </c>
      <c r="C60" s="4">
        <v>3</v>
      </c>
    </row>
    <row r="61" spans="2:3">
      <c r="B61" s="3" t="s">
        <v>155</v>
      </c>
      <c r="C61" s="4">
        <v>39</v>
      </c>
    </row>
    <row r="62" spans="2:3">
      <c r="B62" s="3" t="s">
        <v>156</v>
      </c>
      <c r="C62" s="4">
        <v>4</v>
      </c>
    </row>
    <row r="63" spans="2:3">
      <c r="B63" s="3" t="s">
        <v>157</v>
      </c>
      <c r="C63" s="4">
        <v>1.5</v>
      </c>
    </row>
    <row r="64" spans="2:3">
      <c r="B64" s="3" t="s">
        <v>158</v>
      </c>
      <c r="C64" s="4">
        <v>4</v>
      </c>
    </row>
    <row r="65" spans="2:3">
      <c r="B65" s="3" t="s">
        <v>159</v>
      </c>
      <c r="C65" s="4">
        <v>1.1000000000000001</v>
      </c>
    </row>
    <row r="66" spans="2:3">
      <c r="B66" s="3" t="s">
        <v>160</v>
      </c>
      <c r="C66" s="4">
        <v>1.8</v>
      </c>
    </row>
    <row r="67" spans="2:3">
      <c r="B67" s="3" t="s">
        <v>161</v>
      </c>
      <c r="C67" s="4">
        <v>0</v>
      </c>
    </row>
    <row r="68" spans="2:3">
      <c r="B68" s="3" t="s">
        <v>162</v>
      </c>
      <c r="C68" s="4">
        <v>1</v>
      </c>
    </row>
    <row r="69" spans="2:3">
      <c r="B69" s="35"/>
      <c r="C69" s="36"/>
    </row>
    <row r="70" spans="2:3">
      <c r="B70" s="3" t="s">
        <v>163</v>
      </c>
      <c r="C70" s="4">
        <v>0.49</v>
      </c>
    </row>
    <row r="71" spans="2:3">
      <c r="B71" s="3" t="s">
        <v>164</v>
      </c>
      <c r="C71" s="4">
        <v>0.9</v>
      </c>
    </row>
    <row r="72" spans="2:3">
      <c r="B72" s="3" t="s">
        <v>165</v>
      </c>
      <c r="C72" s="4">
        <v>1</v>
      </c>
    </row>
    <row r="73" spans="2:3">
      <c r="B73" s="3" t="s">
        <v>166</v>
      </c>
      <c r="C73" s="4">
        <v>0.3</v>
      </c>
    </row>
    <row r="74" spans="2:3">
      <c r="B74" s="3" t="s">
        <v>167</v>
      </c>
      <c r="C74" s="4">
        <v>0.7</v>
      </c>
    </row>
    <row r="75" spans="2:3">
      <c r="B75" s="3" t="s">
        <v>168</v>
      </c>
      <c r="C75" s="4">
        <v>2</v>
      </c>
    </row>
    <row r="76" spans="2:3">
      <c r="B76" s="3" t="s">
        <v>169</v>
      </c>
      <c r="C76" s="4">
        <v>20</v>
      </c>
    </row>
    <row r="77" spans="2:3">
      <c r="B77" s="3" t="s">
        <v>170</v>
      </c>
      <c r="C77" s="4">
        <v>0</v>
      </c>
    </row>
    <row r="78" spans="2:3">
      <c r="B78" s="3" t="s">
        <v>171</v>
      </c>
      <c r="C78" s="4">
        <v>1.5</v>
      </c>
    </row>
    <row r="79" spans="2:3">
      <c r="B79" s="3" t="s">
        <v>172</v>
      </c>
      <c r="C79" s="4">
        <v>4</v>
      </c>
    </row>
    <row r="80" spans="2:3">
      <c r="B80" s="3" t="s">
        <v>173</v>
      </c>
      <c r="C80" s="4">
        <v>1</v>
      </c>
    </row>
    <row r="81" spans="2:35">
      <c r="B81" s="35"/>
      <c r="C81" s="36"/>
    </row>
    <row r="82" spans="2:35">
      <c r="B82" s="3" t="s">
        <v>174</v>
      </c>
      <c r="C82" s="55">
        <v>0.4</v>
      </c>
      <c r="D82" s="34">
        <v>0.85</v>
      </c>
    </row>
    <row r="83" spans="2:35">
      <c r="B83" s="3" t="s">
        <v>175</v>
      </c>
      <c r="C83" s="4">
        <v>0.9</v>
      </c>
      <c r="D83" s="34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3" t="s">
        <v>176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177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178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179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180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181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182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183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184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185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186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187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188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189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190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191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192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193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194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195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196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197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198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199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200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201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202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203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204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205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206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207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208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209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210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211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212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213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214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215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0.70005814776225517</v>
      </c>
    </row>
    <row r="126" spans="2:35">
      <c r="B126" s="3" t="s">
        <v>216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217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218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219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220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221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222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223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224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225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226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227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228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229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230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231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232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233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234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235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236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237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238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239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240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241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242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243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244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245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246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247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248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249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250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251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252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253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254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F28" sqref="F28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42333.606689814813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2</v>
      </c>
      <c r="E11" s="25">
        <v>1.6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0.1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4">
        <v>0.54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4">
        <v>0.82</v>
      </c>
      <c r="E24" s="25">
        <v>0.82</v>
      </c>
      <c r="F24" s="1"/>
    </row>
    <row r="25" spans="3:23">
      <c r="C25" s="3" t="s">
        <v>32</v>
      </c>
      <c r="D25" s="4">
        <v>0.82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324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C6" sqref="C6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42195.466307870367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55">
        <v>0.5</v>
      </c>
      <c r="D6" s="1">
        <v>0.2</v>
      </c>
      <c r="F6" s="3" t="s">
        <v>96</v>
      </c>
      <c r="G6" s="4">
        <v>5.0000000000000001E-3</v>
      </c>
    </row>
    <row r="7" spans="1:9">
      <c r="B7" s="3" t="s">
        <v>71</v>
      </c>
      <c r="C7" s="55">
        <v>0.4</v>
      </c>
      <c r="D7" s="1">
        <v>0.6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55">
        <v>0.1</v>
      </c>
      <c r="D8" s="1">
        <v>0.2</v>
      </c>
      <c r="F8" s="3" t="s">
        <v>98</v>
      </c>
      <c r="G8" s="54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8" t="s">
        <v>79</v>
      </c>
      <c r="C15" s="49">
        <v>20</v>
      </c>
      <c r="D15" s="1">
        <v>19</v>
      </c>
      <c r="H15" s="46"/>
      <c r="I15" s="53" t="s">
        <v>323</v>
      </c>
    </row>
    <row r="16" spans="1:9">
      <c r="B16" s="18" t="s">
        <v>80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83</v>
      </c>
      <c r="C19" s="17">
        <v>0.1</v>
      </c>
    </row>
    <row r="20" spans="2:28">
      <c r="B20" s="20" t="s">
        <v>84</v>
      </c>
      <c r="C20" s="21">
        <v>0.2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50" t="s">
        <v>85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8">
        <v>0.1</v>
      </c>
    </row>
    <row r="26" spans="2:28">
      <c r="B26" s="20" t="s">
        <v>90</v>
      </c>
      <c r="C26" s="41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zoomScale="125" zoomScaleNormal="125" zoomScalePageLayoutView="125" workbookViewId="0">
      <pane ySplit="3" topLeftCell="A7" activePane="bottomLeft" state="frozen"/>
      <selection activeCell="C59" sqref="C59"/>
      <selection pane="bottomLeft" activeCell="A22" sqref="A22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5" spans="1:21">
      <c r="L5" s="57">
        <v>42333.631585648145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7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7" t="s">
        <v>304</v>
      </c>
    </row>
    <row r="11" spans="1:21">
      <c r="A11" s="29">
        <v>1</v>
      </c>
      <c r="B11" s="9" t="s">
        <v>344</v>
      </c>
      <c r="C11" s="15" t="b">
        <f>IF(B11="",FALSE,ISNA(VLOOKUP(B11,F:F,1,0)))</f>
        <v>0</v>
      </c>
      <c r="F11" s="23" t="s">
        <v>302</v>
      </c>
      <c r="G11" s="15" t="b">
        <f>IF(F11="",FALSE,ISNA(VLOOKUP(F11,J:M,1,0)))</f>
        <v>0</v>
      </c>
      <c r="J11" s="23" t="s">
        <v>299</v>
      </c>
      <c r="K11" s="24" t="s">
        <v>255</v>
      </c>
      <c r="U11" s="27" t="s">
        <v>300</v>
      </c>
    </row>
    <row r="12" spans="1:21">
      <c r="A12" s="29">
        <f>IF(B12="","",A11+1)</f>
        <v>2</v>
      </c>
      <c r="B12" s="9" t="s">
        <v>347</v>
      </c>
      <c r="C12" s="15" t="b">
        <f>IF(B12="",FALSE,ISNA(VLOOKUP(B12,F:F,1,0)))</f>
        <v>0</v>
      </c>
      <c r="F12" s="23" t="s">
        <v>303</v>
      </c>
      <c r="G12" s="15" t="b">
        <f t="shared" ref="G12:G14" si="0">IF(F12="",FALSE,ISNA(VLOOKUP(F12,J:M,1,0)))</f>
        <v>0</v>
      </c>
      <c r="J12" s="23" t="s">
        <v>293</v>
      </c>
      <c r="K12" s="24" t="s">
        <v>294</v>
      </c>
      <c r="U12" s="27" t="s">
        <v>305</v>
      </c>
    </row>
    <row r="13" spans="1:21">
      <c r="A13" s="29">
        <f t="shared" ref="A13:A18" si="1">IF(B13="","",A12+1)</f>
        <v>3</v>
      </c>
      <c r="B13" s="9" t="s">
        <v>345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295</v>
      </c>
      <c r="K13" s="24">
        <v>15</v>
      </c>
      <c r="U13" s="27" t="s">
        <v>306</v>
      </c>
    </row>
    <row r="14" spans="1:21">
      <c r="A14" s="29">
        <f t="shared" si="1"/>
        <v>4</v>
      </c>
      <c r="B14" s="9" t="s">
        <v>346</v>
      </c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296</v>
      </c>
      <c r="K14" s="24">
        <v>999</v>
      </c>
      <c r="U14" s="27" t="s">
        <v>307</v>
      </c>
    </row>
    <row r="15" spans="1:21">
      <c r="A15" s="29">
        <f t="shared" si="1"/>
        <v>5</v>
      </c>
      <c r="B15" s="9" t="s">
        <v>351</v>
      </c>
      <c r="C15" s="15" t="b">
        <f t="shared" si="2"/>
        <v>0</v>
      </c>
      <c r="G15" s="15"/>
      <c r="J15" s="23" t="s">
        <v>297</v>
      </c>
      <c r="K15" s="60">
        <v>0.27500000000000002</v>
      </c>
    </row>
    <row r="16" spans="1:21">
      <c r="A16" s="29">
        <f t="shared" si="1"/>
        <v>6</v>
      </c>
      <c r="B16" s="9" t="s">
        <v>352</v>
      </c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302</v>
      </c>
      <c r="G18" s="15" t="b">
        <f>IF(F18="",FALSE,ISNA(VLOOKUP(F18,J:M,1,0)))</f>
        <v>0</v>
      </c>
      <c r="J18" s="23" t="s">
        <v>299</v>
      </c>
      <c r="K18" s="24" t="s">
        <v>262</v>
      </c>
    </row>
    <row r="19" spans="1:11">
      <c r="F19" s="9" t="s">
        <v>303</v>
      </c>
      <c r="G19" s="15" t="b">
        <f t="shared" ref="G19:G21" si="3">IF(F19="",FALSE,ISNA(VLOOKUP(F19,J:M,1,0)))</f>
        <v>0</v>
      </c>
      <c r="J19" s="23" t="s">
        <v>293</v>
      </c>
      <c r="K19" s="24" t="s">
        <v>304</v>
      </c>
    </row>
    <row r="20" spans="1:11">
      <c r="F20" s="9" t="s">
        <v>308</v>
      </c>
      <c r="G20" s="15" t="b">
        <f t="shared" si="3"/>
        <v>0</v>
      </c>
      <c r="J20" s="23" t="s">
        <v>295</v>
      </c>
      <c r="K20" s="24">
        <v>15</v>
      </c>
    </row>
    <row r="21" spans="1:11">
      <c r="F21" s="9"/>
      <c r="G21" s="15" t="b">
        <f t="shared" si="3"/>
        <v>0</v>
      </c>
      <c r="J21" s="23" t="s">
        <v>296</v>
      </c>
      <c r="K21" s="24">
        <v>999</v>
      </c>
    </row>
    <row r="22" spans="1:11">
      <c r="G22" s="15"/>
      <c r="J22" s="23" t="s">
        <v>297</v>
      </c>
      <c r="K22" s="58">
        <v>0.2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4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4"/>
        <v>0</v>
      </c>
      <c r="J26" s="9" t="s">
        <v>293</v>
      </c>
      <c r="K26" s="10" t="s">
        <v>304</v>
      </c>
    </row>
    <row r="27" spans="1:11">
      <c r="F27" s="9"/>
      <c r="G27" s="15" t="b">
        <f t="shared" si="4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10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5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5"/>
        <v>0</v>
      </c>
      <c r="J32" s="9" t="s">
        <v>299</v>
      </c>
      <c r="K32" s="10" t="s">
        <v>262</v>
      </c>
    </row>
    <row r="33" spans="6:11">
      <c r="F33" s="9"/>
      <c r="G33" s="15" t="b">
        <f t="shared" si="5"/>
        <v>0</v>
      </c>
      <c r="J33" s="9" t="s">
        <v>293</v>
      </c>
      <c r="K33" s="10" t="s">
        <v>300</v>
      </c>
    </row>
    <row r="34" spans="6:11">
      <c r="G34" s="15"/>
      <c r="J34" s="9" t="s">
        <v>295</v>
      </c>
      <c r="K34" s="10">
        <v>30</v>
      </c>
    </row>
    <row r="35" spans="6:11">
      <c r="F35" s="8" t="s">
        <v>351</v>
      </c>
      <c r="J35" s="9" t="s">
        <v>296</v>
      </c>
      <c r="K35" s="10">
        <v>50</v>
      </c>
    </row>
    <row r="36" spans="6:11">
      <c r="F36" s="9" t="s">
        <v>302</v>
      </c>
      <c r="G36" s="15" t="b">
        <f>IF(F36="",FALSE,ISNA(VLOOKUP(F36,J:M,1,0)))</f>
        <v>0</v>
      </c>
      <c r="J36" s="9" t="s">
        <v>297</v>
      </c>
      <c r="K36" s="10">
        <v>0.1</v>
      </c>
    </row>
    <row r="37" spans="6:11">
      <c r="F37" s="9" t="s">
        <v>303</v>
      </c>
      <c r="G37" s="15" t="b">
        <f t="shared" ref="G37:G39" si="6">IF(F37="",FALSE,ISNA(VLOOKUP(F37,J:M,1,0)))</f>
        <v>0</v>
      </c>
    </row>
    <row r="38" spans="6:11">
      <c r="F38" s="9" t="s">
        <v>349</v>
      </c>
      <c r="G38" s="15" t="b">
        <f t="shared" si="6"/>
        <v>0</v>
      </c>
      <c r="J38" s="8" t="s">
        <v>348</v>
      </c>
      <c r="K38" s="8"/>
    </row>
    <row r="39" spans="6:11">
      <c r="F39" s="9"/>
      <c r="G39" s="15" t="b">
        <f t="shared" si="6"/>
        <v>0</v>
      </c>
      <c r="J39" s="9" t="s">
        <v>299</v>
      </c>
      <c r="K39" s="10" t="s">
        <v>262</v>
      </c>
    </row>
    <row r="40" spans="6:11">
      <c r="G40" s="15"/>
      <c r="J40" s="9" t="s">
        <v>293</v>
      </c>
      <c r="K40" s="10" t="s">
        <v>294</v>
      </c>
    </row>
    <row r="41" spans="6:11">
      <c r="F41" s="8" t="s">
        <v>352</v>
      </c>
      <c r="J41" s="9" t="s">
        <v>295</v>
      </c>
      <c r="K41" s="10">
        <v>30</v>
      </c>
    </row>
    <row r="42" spans="6:11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6:11">
      <c r="F43" s="9" t="s">
        <v>303</v>
      </c>
      <c r="G43" s="15" t="b">
        <f t="shared" ref="G43:G45" si="7">IF(F43="",FALSE,ISNA(VLOOKUP(F43,J:M,1,0)))</f>
        <v>0</v>
      </c>
      <c r="J43" s="9" t="s">
        <v>297</v>
      </c>
      <c r="K43" s="10">
        <v>0.3</v>
      </c>
    </row>
    <row r="44" spans="6:11">
      <c r="F44" s="9" t="s">
        <v>350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349</v>
      </c>
      <c r="K45" s="8"/>
    </row>
    <row r="46" spans="6:11">
      <c r="G46" s="15"/>
      <c r="J46" s="9" t="s">
        <v>299</v>
      </c>
      <c r="K46" s="10" t="s">
        <v>262</v>
      </c>
    </row>
    <row r="47" spans="6:11">
      <c r="J47" s="9" t="s">
        <v>293</v>
      </c>
      <c r="K47" s="10" t="s">
        <v>305</v>
      </c>
    </row>
    <row r="48" spans="6:11">
      <c r="J48" s="9" t="s">
        <v>295</v>
      </c>
      <c r="K48" s="10">
        <v>30</v>
      </c>
    </row>
    <row r="49" spans="10:11">
      <c r="J49" s="9" t="s">
        <v>296</v>
      </c>
      <c r="K49" s="10">
        <v>50</v>
      </c>
    </row>
    <row r="50" spans="10:11">
      <c r="J50" s="9" t="s">
        <v>297</v>
      </c>
      <c r="K50" s="10">
        <v>0.8</v>
      </c>
    </row>
    <row r="52" spans="10:11">
      <c r="J52" s="8" t="s">
        <v>350</v>
      </c>
      <c r="K52" s="8"/>
    </row>
    <row r="53" spans="10:11">
      <c r="J53" s="9" t="s">
        <v>299</v>
      </c>
      <c r="K53" s="10" t="s">
        <v>262</v>
      </c>
    </row>
    <row r="54" spans="10:11">
      <c r="J54" s="9" t="s">
        <v>293</v>
      </c>
      <c r="K54" s="10" t="s">
        <v>307</v>
      </c>
    </row>
    <row r="55" spans="10:11">
      <c r="J55" s="9" t="s">
        <v>295</v>
      </c>
      <c r="K55" s="10">
        <v>30</v>
      </c>
    </row>
    <row r="56" spans="10:11">
      <c r="J56" s="9" t="s">
        <v>296</v>
      </c>
      <c r="K56" s="10">
        <v>50</v>
      </c>
    </row>
    <row r="57" spans="10:11">
      <c r="J57" s="9" t="s">
        <v>297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2015-11-27T01:29:55Z</dcterms:modified>
</cp:coreProperties>
</file>