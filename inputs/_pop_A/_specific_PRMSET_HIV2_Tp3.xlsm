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9660" yWindow="1760" windowWidth="25560" windowHeight="25860" tabRatio="500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<sst xmlns="http://schemas.openxmlformats.org/spreadsheetml/2006/main" count="444" uniqueCount="357">
  <si>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</si>
  <si>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</si>
  <si>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</si>
  <si>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</si>
  <si>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</si>
  <si>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</si>
  <si>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</si>
  <si>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</si>
  <si>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</si>
  <si>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</si>
  <si>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</si>
  <si>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</si>
  <si>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</si>
  <si>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</si>
  <si>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</si>
  <si>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</si>
  <si>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</si>
  <si>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</si>
  <si>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</si>
  <si>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</si>
  <si>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</si>
  <si>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</si>
  <si>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</si>
  <si>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</si>
  <si>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</si>
  <si>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</si>
  <si>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</si>
  <si>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</si>
  <si>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</si>
  <si>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</si>
  <si>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</si>
  <si>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</si>
  <si>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</si>
  <si>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</si>
  <si>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</si>
  <si>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</si>
  <si>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</si>
  <si>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</si>
  <si>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</si>
  <si>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</si>
  <si>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</si>
  <si>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</si>
  <si>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</si>
  <si>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</si>
  <si>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</si>
  <si>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</si>
  <si>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</si>
  <si>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</si>
  <si>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</si>
  <si>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</si>
  <si>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</si>
  <si>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</si>
  <si>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</si>
  <si>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</si>
  <si>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</si>
  <si>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</si>
  <si>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</si>
  <si>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</si>
  <si>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</si>
  <si>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</si>
  <si>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</si>
  <si>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</si>
  <si>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</si>
  <si>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</si>
  <si>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</si>
  <si>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</si>
  <si>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</si>
  <si>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</si>
  <si>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</si>
  <si>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</si>
  <si>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</si>
  <si>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</si>
  <si>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</si>
  <si>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</si>
  <si>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</si>
  <si>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</si>
  <si>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</si>
  <si>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</si>
  <si>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</si>
  <si>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</si>
  <si>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</si>
  <si>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</si>
  <si>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</si>
  <si>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</si>
  <si>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</si>
  <si>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</si>
  <si>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</si>
  <si>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</si>
  <si>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</si>
  <si>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</si>
  <si>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</si>
  <si>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</si>
  <si>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</si>
  <si>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</si>
  <si>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</si>
  <si>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</si>
  <si>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</si>
  <si>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</si>
  <si>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</si>
  <si>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</si>
  <si>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</si>
  <si>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</si>
  <si>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</si>
  <si>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</si>
  <si>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</si>
  <si>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</si>
  <si>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</si>
  <si>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</si>
  <si>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</si>
  <si>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</si>
  <si>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</si>
  <si>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</si>
  <si>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</si>
  <si>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</si>
  <si>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</si>
  <si>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</si>
  <si>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</si>
  <si>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</si>
  <si>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</si>
  <si>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</si>
  <si>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</si>
  <si>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</si>
  <si>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</si>
  <si>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</si>
  <si>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</si>
  <si>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</si>
  <si>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</si>
  <si>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</si>
  <si>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</si>
  <si>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</si>
  <si>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</si>
  <si>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</si>
  <si>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</si>
  <si>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</si>
  <si>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</si>
  <si>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</si>
  <si>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</si>
  <si>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</si>
  <si>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</si>
  <si>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</si>
  <si>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</si>
  <si>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</si>
  <si>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</si>
  <si>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</si>
  <si>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</si>
  <si>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</si>
  <si>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</si>
  <si>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</si>
  <si>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</si>
  <si>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</si>
  <si>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</si>
  <si>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</si>
  <si>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</si>
  <si>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</si>
  <si>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</si>
  <si>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</si>
  <si>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</si>
  <si>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</si>
  <si>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</si>
  <si>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</si>
  <si>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</si>
  <si>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</si>
  <si>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</si>
  <si>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</si>
  <si>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</si>
  <si>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</si>
  <si>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</si>
  <si>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</si>
  <si>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</si>
  <si>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</si>
  <si>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</si>
  <si>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</si>
  <si>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</si>
  <si>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</si>
  <si>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</si>
  <si>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</si>
  <si>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</si>
  <si>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</si>
  <si>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</si>
  <si>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</si>
  <si>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</si>
  <si>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</si>
  <si>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</si>
  <si>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</si>
  <si>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</si>
  <si>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</si>
  <si>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</si>
  <si>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</si>
  <si>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</si>
  <si>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</si>
  <si>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</si>
  <si>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</si>
  <si>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</si>
  <si>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</si>
  <si>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</si>
  <si>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</si>
  <si>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</si>
  <si>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</si>
  <si>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</si>
  <si>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</si>
  <si>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</si>
  <si>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</si>
  <si>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</si>
  <si>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</si>
  <si>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</si>
  <si>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</si>
  <si>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</si>
  <si>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</si>
  <si>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</si>
  <si>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</si>
  <si>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</si>
  <si>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</si>
  <si>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</si>
  <si>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</si>
  <si>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</si>
  <si>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</si>
  <si>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</si>
  <si>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</si>
  <si>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</si>
  <si>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</si>
  <si>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</si>
  <si>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</si>
  <si>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</si>
  <si>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</si>
  <si>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</si>
  <si>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</si>
  <si>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</si>
  <si>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</si>
  <si>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</si>
  <si>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</si>
  <si>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</si>
  <si>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</si>
  <si>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</si>
  <si>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</si>
  <si>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</si>
  <si>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</si>
  <si>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</si>
  <si>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</si>
  <si>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</si>
  <si>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</si>
  <si>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</si>
  <si>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</si>
  <si>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</si>
  <si>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</si>
  <si>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</si>
  <si>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</si>
  <si>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</si>
  <si>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</si>
  <si>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</si>
  <si>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</si>
  <si>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</si>
  <si>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</si>
  <si>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</si>
  <si>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</si>
  <si>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</si>
  <si>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</si>
  <si>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</si>
  <si>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</si>
  <si>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</si>
  <si>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</si>
  <si>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</si>
  <si>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</si>
  <si>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</si>
  <si>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</si>
  <si>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</si>
  <si>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</si>
  <si>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</si>
  <si>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</si>
  <si>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</si>
  <si>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</si>
  <si>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</si>
  <si>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</si>
  <si>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</si>
  <si>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</si>
  <si>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</si>
  <si>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</si>
  <si>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</si>
  <si>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</si>
  <si>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</si>
  <si>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</si>
  <si>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</si>
  <si>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</si>
  <si>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</si>
  <si>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</si>
  <si>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</si>
  <si>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</si>
  <si>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</si>
  <si>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</si>
  <si>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</si>
  <si>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</si>
  <si>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</si>
  <si>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</si>
  <si>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</si>
  <si>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</si>
  <si>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</si>
  <si>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</si>
  <si>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</si>
  <si>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</si>
  <si>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</si>
  <si>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</si>
  <si>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</si>
  <si>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</si>
  <si>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</si>
  <si>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</si>
  <si>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</si>
  <si>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</si>
  <si>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</si>
  <si>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</si>
  <si>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</si>
  <si>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</si>
  <si>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</si>
  <si>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</si>
  <si>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</si>
  <si>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</si>
  <si>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</si>
  <si>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</si>
  <si>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</si>
  <si>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</si>
  <si>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</si>
  <si>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</si>
  <si>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</si>
  <si>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</si>
  <si>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</si>
  <si>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</si>
  <si>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</si>
  <si>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</si>
  <si>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</si>
  <si>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</si>
  <si>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</si>
  <si>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</si>
  <si>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</si>
  <si>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</si>
  <si>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</si>
  <si>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</si>
  <si>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</si>
  <si>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</si>
  <si>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</si>
  <si>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</si>
  <si>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</si>
  <si>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</si>
  <si>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</si>
  <si>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</si>
  <si>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</si>
  <si>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</si>
  <si>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</si>
  <si>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</si>
  <si>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</si>
  <si>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</si>
  <si>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</si>
  <si>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</si>
  <si>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</si>
  <si>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</si>
  <si>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</si>
  <si>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&lt;&lt; was 0.32</t>
  </si>
  <si>
    <t>founder_size</t>
  </si>
  <si>
    <t>founder_femprop</t>
  </si>
  <si>
    <t>founder_cswprop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</si>
</sst>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708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</cellXfs>
  <cellStyles count="270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540296"/>
        <c:axId val="2107542504"/>
      </c:barChart>
      <c:catAx>
        <c:axId val="21075402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7542504"/>
        <c:crosses val="autoZero"/>
        <c:auto val="1"/>
        <c:lblAlgn val="ctr"/>
        <c:lblOffset val="100"/>
        <c:noMultiLvlLbl val="0"/>
      </c:catAx>
      <c:valAx>
        <c:axId val="210754250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54029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389688"/>
        <c:axId val="2125425800"/>
      </c:scatterChart>
      <c:valAx>
        <c:axId val="2107389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25425800"/>
        <c:crosses val="autoZero"/>
        <c:crossBetween val="midCat"/>
      </c:valAx>
      <c:valAx>
        <c:axId val="212542580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73896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061800"/>
        <c:axId val="2107923112"/>
      </c:lineChart>
      <c:catAx>
        <c:axId val="2126061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923112"/>
        <c:crosses val="autoZero"/>
        <c:auto val="1"/>
        <c:lblAlgn val="ctr"/>
        <c:lblOffset val="100"/>
        <c:noMultiLvlLbl val="0"/>
      </c:catAx>
      <c:valAx>
        <c:axId val="210792311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606180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8246728"/>
        <c:axId val="2106627080"/>
      </c:lineChart>
      <c:catAx>
        <c:axId val="2128246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6627080"/>
        <c:crosses val="autoZero"/>
        <c:auto val="1"/>
        <c:lblAlgn val="ctr"/>
        <c:lblOffset val="100"/>
        <c:noMultiLvlLbl val="0"/>
      </c:catAx>
      <c:valAx>
        <c:axId val="210662708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2824672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498008"/>
        <c:axId val="2128005240"/>
      </c:scatterChart>
      <c:valAx>
        <c:axId val="212449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8005240"/>
        <c:crosses val="autoZero"/>
        <c:crossBetween val="midCat"/>
      </c:valAx>
      <c:valAx>
        <c:axId val="2128005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4980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551336"/>
        <c:axId val="2110261176"/>
      </c:lineChart>
      <c:catAx>
        <c:axId val="212455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0261176"/>
        <c:crosses val="autoZero"/>
        <c:auto val="1"/>
        <c:lblAlgn val="ctr"/>
        <c:lblOffset val="100"/>
        <c:noMultiLvlLbl val="0"/>
      </c:catAx>
      <c:valAx>
        <c:axId val="2110261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4551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482600"/>
        <c:axId val="2124448360"/>
      </c:scatterChart>
      <c:valAx>
        <c:axId val="212248260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24448360"/>
        <c:crosses val="autoZero"/>
        <c:crossBetween val="midCat"/>
        <c:majorUnit val="1.0"/>
      </c:valAx>
      <c:valAx>
        <c:axId val="212444836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22482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944024"/>
        <c:axId val="2107336600"/>
      </c:scatterChart>
      <c:valAx>
        <c:axId val="2123944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336600"/>
        <c:crosses val="autoZero"/>
        <c:crossBetween val="midCat"/>
      </c:valAx>
      <c:valAx>
        <c:axId val="210733660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9440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350248"/>
        <c:axId val="2107353272"/>
      </c:scatterChart>
      <c:valAx>
        <c:axId val="2107350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353272"/>
        <c:crosses val="autoZero"/>
        <c:crossBetween val="midCat"/>
      </c:valAx>
      <c:valAx>
        <c:axId val="210735327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73502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419304"/>
        <c:axId val="2107326856"/>
      </c:lineChart>
      <c:catAx>
        <c:axId val="210841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326856"/>
        <c:crosses val="autoZero"/>
        <c:auto val="1"/>
        <c:lblAlgn val="ctr"/>
        <c:lblOffset val="100"/>
        <c:noMultiLvlLbl val="0"/>
      </c:catAx>
      <c:valAx>
        <c:axId val="210732685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41930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364664"/>
        <c:axId val="2107834696"/>
      </c:scatterChart>
      <c:valAx>
        <c:axId val="2107364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834696"/>
        <c:crosses val="autoZero"/>
        <c:crossBetween val="midCat"/>
      </c:valAx>
      <c:valAx>
        <c:axId val="21078346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73646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760984"/>
        <c:axId val="2106627528"/>
      </c:barChart>
      <c:catAx>
        <c:axId val="2107760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06627528"/>
        <c:crosses val="autoZero"/>
        <c:auto val="1"/>
        <c:lblAlgn val="ctr"/>
        <c:lblOffset val="100"/>
        <c:noMultiLvlLbl val="0"/>
      </c:catAx>
      <c:valAx>
        <c:axId val="210662752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0776098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tabSelected="1" showRuler="0" topLeftCell="A4" workbookViewId="0">
      <selection activeCell="D20" sqref="D20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42333.577465277776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354</v>
      </c>
      <c r="G10" s="4">
        <v>500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355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0.05</v>
      </c>
      <c r="N11" s="22">
        <v>0.05</v>
      </c>
      <c r="O11" s="22">
        <v>0.05</v>
      </c>
      <c r="P11" s="22">
        <v>0.05</v>
      </c>
    </row>
    <row r="12" spans="1:16">
      <c r="C12" s="16" t="s">
        <v>2</v>
      </c>
      <c r="D12" s="17">
        <v>50</v>
      </c>
      <c r="E12" s="25">
        <v>50</v>
      </c>
      <c r="F12" s="3" t="s">
        <v>356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4" t="s">
        <v>104</v>
      </c>
      <c r="C6" s="4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" t="s">
        <v>105</v>
      </c>
      <c r="C7" s="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0.2</v>
      </c>
      <c r="N7" s="31" t="s">
        <v>255</v>
      </c>
      <c r="O7" s="59">
        <v>1</v>
      </c>
      <c r="P7" s="59">
        <v>2.5</v>
      </c>
    </row>
    <row r="8" spans="1:16">
      <c r="B8" s="4" t="s">
        <v>106</v>
      </c>
      <c r="C8" s="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" t="s">
        <v>107</v>
      </c>
      <c r="C9" s="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" t="s">
        <v>108</v>
      </c>
      <c r="C10" s="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" t="s">
        <v>109</v>
      </c>
      <c r="C11" s="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0.05</v>
      </c>
    </row>
    <row r="12" spans="1:16">
      <c r="B12" s="4" t="s">
        <v>110</v>
      </c>
      <c r="C12" s="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" t="s">
        <v>111</v>
      </c>
      <c r="C13" s="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" t="s">
        <v>112</v>
      </c>
      <c r="C14" s="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4" t="s">
        <v>113</v>
      </c>
      <c r="C15" s="4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2">
      <c r="B17" s="3" t="s">
        <v>114</v>
      </c>
      <c r="C17" s="4">
        <v>6</v>
      </c>
      <c r="H17" s="3" t="s">
        <v>277</v>
      </c>
      <c r="I17" s="4">
        <v>0.01</v>
      </c>
      <c r="K17" s="3"/>
      <c r="L17" s="4"/>
    </row>
    <row r="18" spans="2:12">
      <c r="B18" s="3" t="s">
        <v>115</v>
      </c>
      <c r="C18" s="4">
        <v>2</v>
      </c>
      <c r="H18" s="3" t="s">
        <v>278</v>
      </c>
      <c r="I18" s="4">
        <v>0.01</v>
      </c>
      <c r="K18" s="3"/>
      <c r="L18" s="4"/>
    </row>
    <row r="19" spans="2:12">
      <c r="B19" s="3" t="s">
        <v>116</v>
      </c>
      <c r="C19" s="4">
        <v>2</v>
      </c>
      <c r="H19" s="3" t="s">
        <v>279</v>
      </c>
      <c r="I19" s="4">
        <v>0.01</v>
      </c>
      <c r="K19" s="3"/>
      <c r="L19" s="4"/>
    </row>
    <row r="20" spans="2:12">
      <c r="B20" s="3" t="s">
        <v>117</v>
      </c>
      <c r="C20" s="4">
        <v>0.01</v>
      </c>
      <c r="H20" s="3"/>
      <c r="I20" s="4"/>
      <c r="K20" s="3"/>
      <c r="L20" s="4"/>
    </row>
    <row r="21" spans="2:12">
      <c r="B21" s="3" t="s">
        <v>118</v>
      </c>
      <c r="C21" s="4">
        <v>6</v>
      </c>
      <c r="H21" s="3" t="s">
        <v>280</v>
      </c>
      <c r="I21" s="4">
        <v>0.25</v>
      </c>
      <c r="K21" s="3"/>
      <c r="L21" s="4"/>
    </row>
    <row r="22" spans="2:12">
      <c r="B22" s="3" t="s">
        <v>119</v>
      </c>
      <c r="C22" s="4">
        <v>0.4</v>
      </c>
      <c r="H22" s="3" t="s">
        <v>281</v>
      </c>
      <c r="I22" s="4">
        <v>3.0000000000000001E-3</v>
      </c>
      <c r="K22" s="3"/>
      <c r="L22" s="4"/>
    </row>
    <row r="23" spans="2:12">
      <c r="B23" s="3" t="s">
        <v>120</v>
      </c>
      <c r="C23" s="4">
        <v>1</v>
      </c>
      <c r="H23" s="3" t="s">
        <v>282</v>
      </c>
      <c r="I23" s="4">
        <v>0.01</v>
      </c>
      <c r="K23" s="3"/>
      <c r="L23" s="4"/>
    </row>
    <row r="24" spans="2:12">
      <c r="B24" s="3" t="s">
        <v>121</v>
      </c>
      <c r="C24" s="4">
        <v>0.06</v>
      </c>
      <c r="H24" s="3" t="s">
        <v>283</v>
      </c>
      <c r="I24" s="4">
        <v>0.05</v>
      </c>
      <c r="K24" s="3"/>
      <c r="L24" s="4"/>
    </row>
    <row r="25" spans="2:12">
      <c r="B25" s="3" t="s">
        <v>122</v>
      </c>
      <c r="C25" s="4">
        <v>0.1</v>
      </c>
      <c r="H25" s="3" t="s">
        <v>284</v>
      </c>
      <c r="I25" s="4">
        <v>0.01</v>
      </c>
      <c r="K25" s="3"/>
      <c r="L25" s="4"/>
    </row>
    <row r="26" spans="2:12">
      <c r="B26" s="3" t="s">
        <v>123</v>
      </c>
      <c r="C26" s="4">
        <v>999.99</v>
      </c>
      <c r="H26" s="3" t="s">
        <v>285</v>
      </c>
      <c r="I26" s="4">
        <v>0.01</v>
      </c>
      <c r="K26" s="3"/>
      <c r="L26" s="4"/>
    </row>
    <row r="27" spans="2:12">
      <c r="B27" s="3" t="s">
        <v>124</v>
      </c>
      <c r="C27" s="4">
        <v>0</v>
      </c>
      <c r="H27" s="3" t="s">
        <v>286</v>
      </c>
      <c r="I27" s="4">
        <v>0.01</v>
      </c>
      <c r="K27" s="3"/>
      <c r="L27" s="4"/>
    </row>
    <row r="28" spans="2:12">
      <c r="B28" s="3" t="s">
        <v>125</v>
      </c>
      <c r="C28" s="4">
        <v>0</v>
      </c>
      <c r="H28" s="3" t="s">
        <v>287</v>
      </c>
      <c r="I28" s="4">
        <v>0.01</v>
      </c>
      <c r="K28" s="3"/>
      <c r="L28" s="4"/>
    </row>
    <row r="29" spans="2:12">
      <c r="B29" s="3" t="s">
        <v>126</v>
      </c>
      <c r="C29" s="4">
        <v>0.5</v>
      </c>
      <c r="H29" s="3" t="s">
        <v>288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127</v>
      </c>
      <c r="C31" s="4">
        <v>0.1</v>
      </c>
    </row>
    <row r="32" spans="2:12">
      <c r="B32" s="3" t="s">
        <v>128</v>
      </c>
      <c r="C32" s="4">
        <v>0.9</v>
      </c>
    </row>
    <row r="33" spans="2:3">
      <c r="B33" s="3" t="s">
        <v>129</v>
      </c>
      <c r="C33" s="4">
        <v>999.99</v>
      </c>
    </row>
    <row r="34" spans="2:3">
      <c r="B34" s="3" t="s">
        <v>130</v>
      </c>
      <c r="C34" s="4">
        <v>0.2</v>
      </c>
    </row>
    <row r="35" spans="2:3">
      <c r="B35" s="3" t="s">
        <v>131</v>
      </c>
      <c r="C35" s="4">
        <v>0.2</v>
      </c>
    </row>
    <row r="36" spans="2:3">
      <c r="B36" s="3" t="s">
        <v>132</v>
      </c>
      <c r="C36" s="4">
        <v>1</v>
      </c>
    </row>
    <row r="37" spans="2:3">
      <c r="B37" s="3" t="s">
        <v>133</v>
      </c>
      <c r="C37" s="4">
        <v>1</v>
      </c>
    </row>
    <row r="38" spans="2:3">
      <c r="B38" s="3" t="s">
        <v>134</v>
      </c>
      <c r="C38" s="4">
        <v>0.2</v>
      </c>
    </row>
    <row r="39" spans="2:3">
      <c r="B39" s="3" t="s">
        <v>135</v>
      </c>
      <c r="C39" s="4">
        <v>12</v>
      </c>
    </row>
    <row r="40" spans="2:3">
      <c r="B40" s="3" t="s">
        <v>136</v>
      </c>
      <c r="C40" s="4">
        <v>0.08</v>
      </c>
    </row>
    <row r="41" spans="2:3">
      <c r="B41" s="3" t="s">
        <v>137</v>
      </c>
      <c r="C41" s="4">
        <v>0.1</v>
      </c>
    </row>
    <row r="42" spans="2:3">
      <c r="B42" s="3" t="s">
        <v>138</v>
      </c>
      <c r="C42" s="4">
        <v>0.8</v>
      </c>
    </row>
    <row r="43" spans="2:3">
      <c r="B43" s="35"/>
      <c r="C43" s="36"/>
    </row>
    <row r="44" spans="2:3">
      <c r="B44" s="3" t="s">
        <v>139</v>
      </c>
      <c r="C44" s="4">
        <v>0.1</v>
      </c>
    </row>
    <row r="45" spans="2:3">
      <c r="B45" s="3" t="s">
        <v>140</v>
      </c>
      <c r="C45" s="4">
        <v>0.9</v>
      </c>
    </row>
    <row r="46" spans="2:3">
      <c r="B46" s="3" t="s">
        <v>141</v>
      </c>
      <c r="C46" s="4">
        <v>1.5</v>
      </c>
    </row>
    <row r="47" spans="2:3">
      <c r="B47" s="3" t="s">
        <v>142</v>
      </c>
      <c r="C47" s="4">
        <v>0.05</v>
      </c>
    </row>
    <row r="48" spans="2:3">
      <c r="B48" s="3" t="s">
        <v>143</v>
      </c>
      <c r="C48" s="4">
        <v>0.05</v>
      </c>
    </row>
    <row r="49" spans="2:3">
      <c r="B49" s="3" t="s">
        <v>144</v>
      </c>
      <c r="C49" s="4">
        <v>16</v>
      </c>
    </row>
    <row r="50" spans="2:3">
      <c r="B50" s="3" t="s">
        <v>145</v>
      </c>
      <c r="C50" s="4">
        <v>32</v>
      </c>
    </row>
    <row r="51" spans="2:3">
      <c r="B51" s="3" t="s">
        <v>146</v>
      </c>
      <c r="C51" s="4">
        <v>0.2</v>
      </c>
    </row>
    <row r="52" spans="2:3">
      <c r="B52" s="3" t="s">
        <v>147</v>
      </c>
      <c r="C52" s="4">
        <v>0.1</v>
      </c>
    </row>
    <row r="53" spans="2:3">
      <c r="B53" s="3" t="s">
        <v>148</v>
      </c>
      <c r="C53" s="4">
        <v>0.7</v>
      </c>
    </row>
    <row r="54" spans="2:3">
      <c r="B54" s="35"/>
      <c r="C54" s="36"/>
    </row>
    <row r="55" spans="2:3">
      <c r="B55" s="3" t="s">
        <v>149</v>
      </c>
      <c r="C55" s="4">
        <v>0.2</v>
      </c>
    </row>
    <row r="56" spans="2:3">
      <c r="B56" s="3" t="s">
        <v>150</v>
      </c>
      <c r="C56" s="4">
        <v>0.9</v>
      </c>
    </row>
    <row r="57" spans="2:3">
      <c r="B57" s="3" t="s">
        <v>151</v>
      </c>
      <c r="C57" s="4">
        <v>1</v>
      </c>
    </row>
    <row r="58" spans="2:3">
      <c r="B58" s="3" t="s">
        <v>152</v>
      </c>
      <c r="C58" s="4">
        <v>0.2</v>
      </c>
    </row>
    <row r="59" spans="2:3">
      <c r="B59" s="3" t="s">
        <v>153</v>
      </c>
      <c r="C59" s="4">
        <v>0.2</v>
      </c>
    </row>
    <row r="60" spans="2:3">
      <c r="B60" s="3" t="s">
        <v>154</v>
      </c>
      <c r="C60" s="4">
        <v>3</v>
      </c>
    </row>
    <row r="61" spans="2:3">
      <c r="B61" s="3" t="s">
        <v>155</v>
      </c>
      <c r="C61" s="4">
        <v>39</v>
      </c>
    </row>
    <row r="62" spans="2:3">
      <c r="B62" s="3" t="s">
        <v>156</v>
      </c>
      <c r="C62" s="4">
        <v>4</v>
      </c>
    </row>
    <row r="63" spans="2:3">
      <c r="B63" s="3" t="s">
        <v>157</v>
      </c>
      <c r="C63" s="4">
        <v>1.5</v>
      </c>
    </row>
    <row r="64" spans="2:3">
      <c r="B64" s="3" t="s">
        <v>158</v>
      </c>
      <c r="C64" s="4">
        <v>4</v>
      </c>
    </row>
    <row r="65" spans="2:3">
      <c r="B65" s="3" t="s">
        <v>159</v>
      </c>
      <c r="C65" s="4">
        <v>1.1000000000000001</v>
      </c>
    </row>
    <row r="66" spans="2:3">
      <c r="B66" s="3" t="s">
        <v>160</v>
      </c>
      <c r="C66" s="4">
        <v>1.8</v>
      </c>
    </row>
    <row r="67" spans="2:3">
      <c r="B67" s="3" t="s">
        <v>161</v>
      </c>
      <c r="C67" s="4">
        <v>0</v>
      </c>
    </row>
    <row r="68" spans="2:3">
      <c r="B68" s="3" t="s">
        <v>162</v>
      </c>
      <c r="C68" s="4">
        <v>1</v>
      </c>
    </row>
    <row r="69" spans="2:3">
      <c r="B69" s="35"/>
      <c r="C69" s="36"/>
    </row>
    <row r="70" spans="2:3">
      <c r="B70" s="3" t="s">
        <v>163</v>
      </c>
      <c r="C70" s="4">
        <v>0.49</v>
      </c>
    </row>
    <row r="71" spans="2:3">
      <c r="B71" s="3" t="s">
        <v>164</v>
      </c>
      <c r="C71" s="4">
        <v>0.9</v>
      </c>
    </row>
    <row r="72" spans="2:3">
      <c r="B72" s="3" t="s">
        <v>165</v>
      </c>
      <c r="C72" s="4">
        <v>1</v>
      </c>
    </row>
    <row r="73" spans="2:3">
      <c r="B73" s="3" t="s">
        <v>166</v>
      </c>
      <c r="C73" s="4">
        <v>0.3</v>
      </c>
    </row>
    <row r="74" spans="2:3">
      <c r="B74" s="3" t="s">
        <v>167</v>
      </c>
      <c r="C74" s="4">
        <v>0.7</v>
      </c>
    </row>
    <row r="75" spans="2:3">
      <c r="B75" s="3" t="s">
        <v>168</v>
      </c>
      <c r="C75" s="4">
        <v>2</v>
      </c>
    </row>
    <row r="76" spans="2:3">
      <c r="B76" s="3" t="s">
        <v>169</v>
      </c>
      <c r="C76" s="4">
        <v>20</v>
      </c>
    </row>
    <row r="77" spans="2:3">
      <c r="B77" s="3" t="s">
        <v>170</v>
      </c>
      <c r="C77" s="4">
        <v>0</v>
      </c>
    </row>
    <row r="78" spans="2:3">
      <c r="B78" s="3" t="s">
        <v>171</v>
      </c>
      <c r="C78" s="4">
        <v>1.5</v>
      </c>
    </row>
    <row r="79" spans="2:3">
      <c r="B79" s="3" t="s">
        <v>172</v>
      </c>
      <c r="C79" s="4">
        <v>4</v>
      </c>
    </row>
    <row r="80" spans="2:3">
      <c r="B80" s="3" t="s">
        <v>173</v>
      </c>
      <c r="C80" s="4">
        <v>1</v>
      </c>
    </row>
    <row r="81" spans="2:35">
      <c r="B81" s="35"/>
      <c r="C81" s="36"/>
    </row>
    <row r="82" spans="2:35">
      <c r="B82" s="3" t="s">
        <v>174</v>
      </c>
      <c r="C82" s="55">
        <v>0.4</v>
      </c>
      <c r="D82" s="34">
        <v>0.85</v>
      </c>
    </row>
    <row r="83" spans="2:35">
      <c r="B83" s="3" t="s">
        <v>175</v>
      </c>
      <c r="C83" s="4">
        <v>0.9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3" t="s">
        <v>176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177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178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179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180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181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182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183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184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185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186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187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188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189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190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191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192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193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194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195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196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197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198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199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200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201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202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203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204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205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206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207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208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209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210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211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212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213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214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215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216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217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218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219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220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221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222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223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224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225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226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227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228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229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230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231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232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233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234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235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236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237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238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239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240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241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242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243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244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245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246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247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248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249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250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251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252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253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254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F21" sqref="F21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42195.466249999998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1.6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C59" sqref="C59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42195.466307870367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0.1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showRuler="0" zoomScale="125" zoomScaleNormal="125" zoomScalePageLayoutView="125" workbookViewId="0">
      <pane ySplit="3" topLeftCell="A4" activePane="bottomLeft" state="frozen"/>
      <selection activeCell="C59" sqref="C59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42333.574502314812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345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15</v>
      </c>
      <c r="U13" s="27" t="s">
        <v>306</v>
      </c>
    </row>
    <row r="14" spans="1:21">
      <c r="A14" s="29">
        <f t="shared" si="1"/>
        <v>4</v>
      </c>
      <c r="B14" s="9" t="s">
        <v>346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307</v>
      </c>
    </row>
    <row r="15" spans="1:21">
      <c r="A15" s="29">
        <f t="shared" si="1"/>
        <v>5</v>
      </c>
      <c r="B15" s="9" t="s">
        <v>351</v>
      </c>
      <c r="C15" s="15" t="b">
        <f t="shared" si="2"/>
        <v>0</v>
      </c>
      <c r="G15" s="15"/>
      <c r="J15" s="23" t="s">
        <v>297</v>
      </c>
      <c r="K15" s="58">
        <v>0.2</v>
      </c>
    </row>
    <row r="16" spans="1:21">
      <c r="A16" s="29">
        <f t="shared" si="1"/>
        <v>6</v>
      </c>
      <c r="B16" s="9" t="s">
        <v>352</v>
      </c>
      <c r="C16" s="15" t="b">
        <f t="shared" si="2"/>
        <v>0</v>
      </c>
      <c r="G16" s="15"/>
    </row>
    <row r="17" spans="1:12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2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2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2">
      <c r="F20" s="9" t="s">
        <v>308</v>
      </c>
      <c r="G20" s="15" t="b">
        <f t="shared" si="3"/>
        <v>0</v>
      </c>
      <c r="J20" s="23" t="s">
        <v>295</v>
      </c>
      <c r="K20" s="24">
        <v>15</v>
      </c>
    </row>
    <row r="21" spans="1:12">
      <c r="F21" s="9"/>
      <c r="G21" s="15" t="b">
        <f t="shared" si="3"/>
        <v>0</v>
      </c>
      <c r="J21" s="23" t="s">
        <v>296</v>
      </c>
      <c r="K21" s="24">
        <v>999</v>
      </c>
    </row>
    <row r="22" spans="1:12">
      <c r="G22" s="15"/>
      <c r="J22" s="23" t="s">
        <v>297</v>
      </c>
      <c r="K22" s="58">
        <v>0.25</v>
      </c>
      <c r="L22" s="29" t="s">
        <v>353</v>
      </c>
    </row>
    <row r="23" spans="1:12">
      <c r="F23" s="8" t="s">
        <v>346</v>
      </c>
      <c r="G23" s="15"/>
    </row>
    <row r="24" spans="1:12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2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2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2">
      <c r="F27" s="9"/>
      <c r="G27" s="15" t="b">
        <f t="shared" si="4"/>
        <v>0</v>
      </c>
      <c r="J27" s="9" t="s">
        <v>295</v>
      </c>
      <c r="K27" s="10">
        <v>30</v>
      </c>
    </row>
    <row r="28" spans="1:12">
      <c r="G28" s="15"/>
      <c r="J28" s="9" t="s">
        <v>296</v>
      </c>
      <c r="K28" s="10">
        <v>50</v>
      </c>
    </row>
    <row r="29" spans="1:12">
      <c r="F29" s="8" t="s">
        <v>345</v>
      </c>
      <c r="J29" s="9" t="s">
        <v>297</v>
      </c>
      <c r="K29" s="10">
        <v>0.8</v>
      </c>
    </row>
    <row r="30" spans="1:12">
      <c r="F30" s="9" t="s">
        <v>302</v>
      </c>
      <c r="G30" s="15" t="b">
        <f>IF(F30="",FALSE,ISNA(VLOOKUP(F30,J:M,1,0)))</f>
        <v>0</v>
      </c>
    </row>
    <row r="31" spans="1:12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2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6:11">
      <c r="F33" s="9"/>
      <c r="G33" s="15" t="b">
        <f t="shared" si="5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351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6">IF(F37="",FALSE,ISNA(VLOOKUP(F37,J:M,1,0)))</f>
        <v>0</v>
      </c>
    </row>
    <row r="38" spans="6:11">
      <c r="F38" s="9" t="s">
        <v>349</v>
      </c>
      <c r="G38" s="15" t="b">
        <f t="shared" si="6"/>
        <v>0</v>
      </c>
      <c r="J38" s="8" t="s">
        <v>348</v>
      </c>
      <c r="K38" s="8"/>
    </row>
    <row r="39" spans="6:11">
      <c r="F39" s="9"/>
      <c r="G39" s="15" t="b">
        <f t="shared" si="6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352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7">IF(F43="",FALSE,ISNA(VLOOKUP(F43,J:M,1,0)))</f>
        <v>0</v>
      </c>
      <c r="J43" s="9" t="s">
        <v>297</v>
      </c>
      <c r="K43" s="10">
        <v>0.3</v>
      </c>
    </row>
    <row r="44" spans="6:11">
      <c r="F44" s="9" t="s">
        <v>350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349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305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0.8</v>
      </c>
    </row>
    <row r="52" spans="10:11">
      <c r="J52" s="8" t="s">
        <v>350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2015-11-25T18:51:35Z</dcterms:modified>
</cp:coreProperties>
</file>