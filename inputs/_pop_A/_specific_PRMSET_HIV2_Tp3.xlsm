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2600" yWindow="0" windowWidth="14360" windowHeight="17560" tabRatio="500" activeTab="1"/>
  </bookViews>
  <sheets>
    <sheet name="partnerships" sheetId="2" r:id="rId1"/>
    <sheet name="sex-activity" sheetId="3" r:id="rId2"/>
  </sheets>
  <definedNames>
    <definedName name="CSW">'sex-activity'!$F$6:$G$12</definedName>
    <definedName name="demographics">#REF!</definedName>
    <definedName name="dissolution">partnerships!$J$11:$K$22</definedName>
    <definedName name="formation">partnerships!$C$11:$D$25</definedName>
    <definedName name="HIVrebound">#REF!</definedName>
    <definedName name="inter_file_base2">#REF!</definedName>
    <definedName name="interv_file_base1">#REF!</definedName>
    <definedName name="interv_file_base2">#REF!</definedName>
    <definedName name="interv_file1">#REF!</definedName>
    <definedName name="interv_file2">#REF!</definedName>
    <definedName name="interv_file3">#REF!</definedName>
    <definedName name="interv_file4">#REF!</definedName>
    <definedName name="interv_file5">#REF!</definedName>
    <definedName name="intervention_base1">#REF!</definedName>
    <definedName name="intervention_base2">#REF!</definedName>
    <definedName name="intervention_basse2">#REF!</definedName>
    <definedName name="intervention1">#REF!</definedName>
    <definedName name="intervention2">#REF!</definedName>
    <definedName name="intervention3">#REF!</definedName>
    <definedName name="intervention4">#REF!</definedName>
    <definedName name="intervention5">#REF!</definedName>
    <definedName name="population">#REF!</definedName>
    <definedName name="scenario_file1">#REF!</definedName>
    <definedName name="scenario_file2">#REF!</definedName>
    <definedName name="scenario_file3">#REF!</definedName>
    <definedName name="scenario_file4">#REF!</definedName>
    <definedName name="scenario_file5">#REF!</definedName>
    <definedName name="scenario_file6">#REF!</definedName>
    <definedName name="scenario_list">#REF!</definedName>
    <definedName name="scenario_list_file">#REF!</definedName>
    <definedName name="scenario1">#REF!</definedName>
    <definedName name="scenario2">#REF!</definedName>
    <definedName name="scenario3">#REF!</definedName>
    <definedName name="scenario4">#REF!</definedName>
    <definedName name="scenario5">#REF!</definedName>
    <definedName name="scenario6">#REF!</definedName>
    <definedName name="sexactivity">'sex-activity'!$B$6:$C$30</definedName>
    <definedName name="simulation">#REF!</definedName>
    <definedName name="spousal">partnerships!$F$11:$G$19</definedName>
    <definedName name="STI_init">#REF!</definedName>
    <definedName name="STI_suscept_factor">#REF!</definedName>
    <definedName name="STIfeatures">#REF!</definedName>
    <definedName name="STItreatment">#REF!</definedName>
    <definedName name="STIvaccine">#REF!</definedName>
    <definedName name="timestamp_interventions">#REF!</definedName>
    <definedName name="timestamp_main">#REF!</definedName>
    <definedName name="timestamp_partnerships">partnerships!$F$5</definedName>
    <definedName name="timestamp_sexactivity">'sex-activity'!$F$3</definedName>
    <definedName name="timestamp_STI">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23" i="3" l="1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</calcChain>
</file>

<file path=xl/sharedStrings.xml><?xml version="1.0" encoding="utf-8"?>
<sst xmlns="http://schemas.openxmlformats.org/spreadsheetml/2006/main" count="88" uniqueCount="83">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</sst>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1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586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164" fontId="8" fillId="2" borderId="0" xfId="0" applyNumberFormat="1" applyFont="1" applyFill="1"/>
    <xf numFmtId="0" fontId="9" fillId="5" borderId="0" xfId="0" applyFont="1" applyFill="1"/>
    <xf numFmtId="164" fontId="9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0" fillId="2" borderId="0" xfId="0" applyFont="1" applyFill="1"/>
    <xf numFmtId="0" fontId="11" fillId="4" borderId="0" xfId="0" applyFont="1" applyFill="1"/>
    <xf numFmtId="10" fontId="11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1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4" fillId="4" borderId="0" xfId="0" applyNumberFormat="1" applyFont="1" applyFill="1" applyAlignment="1">
      <alignment horizontal="center"/>
    </xf>
    <xf numFmtId="22" fontId="14" fillId="6" borderId="0" xfId="0" applyNumberFormat="1" applyFont="1" applyFill="1" applyAlignment="1">
      <alignment horizontal="center"/>
    </xf>
  </cellXfs>
  <cellStyles count="258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620232"/>
        <c:axId val="2125842888"/>
      </c:lineChart>
      <c:catAx>
        <c:axId val="212562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5842888"/>
        <c:crosses val="autoZero"/>
        <c:auto val="1"/>
        <c:lblAlgn val="ctr"/>
        <c:lblOffset val="100"/>
        <c:noMultiLvlLbl val="0"/>
      </c:catAx>
      <c:valAx>
        <c:axId val="212584288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562023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907320"/>
        <c:axId val="2125910360"/>
      </c:lineChart>
      <c:catAx>
        <c:axId val="2125907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5910360"/>
        <c:crosses val="autoZero"/>
        <c:auto val="1"/>
        <c:lblAlgn val="ctr"/>
        <c:lblOffset val="100"/>
        <c:noMultiLvlLbl val="0"/>
      </c:catAx>
      <c:valAx>
        <c:axId val="212591036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259073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247544"/>
        <c:axId val="-2075598648"/>
      </c:scatterChart>
      <c:valAx>
        <c:axId val="2136247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75598648"/>
        <c:crosses val="autoZero"/>
        <c:crossBetween val="midCat"/>
      </c:valAx>
      <c:valAx>
        <c:axId val="-2075598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475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320120"/>
        <c:axId val="2137323128"/>
      </c:lineChart>
      <c:catAx>
        <c:axId val="2137320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323128"/>
        <c:crosses val="autoZero"/>
        <c:auto val="1"/>
        <c:lblAlgn val="ctr"/>
        <c:lblOffset val="100"/>
        <c:noMultiLvlLbl val="0"/>
      </c:catAx>
      <c:valAx>
        <c:axId val="21373231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7320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541288"/>
        <c:axId val="-2094538264"/>
      </c:scatterChart>
      <c:valAx>
        <c:axId val="-209454128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094538264"/>
        <c:crosses val="autoZero"/>
        <c:crossBetween val="midCat"/>
        <c:majorUnit val="1.0"/>
      </c:valAx>
      <c:valAx>
        <c:axId val="-2094538264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0945412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842744"/>
        <c:axId val="-2094997144"/>
      </c:scatterChart>
      <c:valAx>
        <c:axId val="-2094842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4997144"/>
        <c:crosses val="autoZero"/>
        <c:crossBetween val="midCat"/>
      </c:valAx>
      <c:valAx>
        <c:axId val="-20949971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48427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961304"/>
        <c:axId val="-2094925816"/>
      </c:scatterChart>
      <c:valAx>
        <c:axId val="-209496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4925816"/>
        <c:crosses val="autoZero"/>
        <c:crossBetween val="midCat"/>
      </c:valAx>
      <c:valAx>
        <c:axId val="-20949258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949613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4502200"/>
        <c:axId val="-2094026712"/>
      </c:lineChart>
      <c:catAx>
        <c:axId val="-209450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4026712"/>
        <c:crosses val="autoZero"/>
        <c:auto val="1"/>
        <c:lblAlgn val="ctr"/>
        <c:lblOffset val="100"/>
        <c:noMultiLvlLbl val="0"/>
      </c:catAx>
      <c:valAx>
        <c:axId val="-209402671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450220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977496"/>
        <c:axId val="-2094993144"/>
      </c:scatterChart>
      <c:valAx>
        <c:axId val="-2094977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4993144"/>
        <c:crosses val="autoZero"/>
        <c:crossBetween val="midCat"/>
      </c:valAx>
      <c:valAx>
        <c:axId val="-209499314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949774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5002216"/>
        <c:axId val="-2094999208"/>
      </c:barChart>
      <c:catAx>
        <c:axId val="-2095002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94999208"/>
        <c:crosses val="autoZero"/>
        <c:auto val="1"/>
        <c:lblAlgn val="ctr"/>
        <c:lblOffset val="100"/>
        <c:noMultiLvlLbl val="0"/>
      </c:catAx>
      <c:valAx>
        <c:axId val="-209499920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09500221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4" Type="http://schemas.openxmlformats.org/officeDocument/2006/relationships/chart" Target="../charts/chart8.xml"/><Relationship Id="rId5" Type="http://schemas.openxmlformats.org/officeDocument/2006/relationships/chart" Target="../charts/chart9.xml"/><Relationship Id="rId6" Type="http://schemas.openxmlformats.org/officeDocument/2006/relationships/chart" Target="../charts/chart10.xml"/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F23" sqref="F23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16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34">
        <v>42331.529502314814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15</v>
      </c>
      <c r="D10" s="5"/>
      <c r="E10" s="14"/>
      <c r="F10" s="6" t="s">
        <v>26</v>
      </c>
      <c r="G10" s="5"/>
      <c r="J10" s="6" t="s">
        <v>39</v>
      </c>
      <c r="K10" s="5"/>
      <c r="L10" s="14"/>
    </row>
    <row r="11" spans="1:12">
      <c r="C11" s="3" t="s">
        <v>0</v>
      </c>
      <c r="D11" s="4">
        <v>1.6</v>
      </c>
      <c r="E11" s="14">
        <v>3.1</v>
      </c>
      <c r="F11" s="3" t="s">
        <v>17</v>
      </c>
      <c r="G11" s="4">
        <v>0.05</v>
      </c>
      <c r="H11" s="1">
        <v>0.05</v>
      </c>
      <c r="J11" s="3" t="s">
        <v>27</v>
      </c>
      <c r="K11" s="4">
        <v>0.1</v>
      </c>
      <c r="L11" s="14">
        <v>0.4</v>
      </c>
    </row>
    <row r="12" spans="1:12">
      <c r="C12" s="3" t="s">
        <v>1</v>
      </c>
      <c r="D12" s="4">
        <v>19</v>
      </c>
      <c r="E12" s="14">
        <v>19</v>
      </c>
      <c r="F12" s="3" t="s">
        <v>18</v>
      </c>
      <c r="G12" s="4">
        <v>16.600000000000001</v>
      </c>
      <c r="H12" s="1">
        <v>16.600000000000001</v>
      </c>
      <c r="J12" s="3" t="s">
        <v>28</v>
      </c>
      <c r="K12" s="4">
        <v>0.06</v>
      </c>
      <c r="L12" s="14">
        <v>0.06</v>
      </c>
    </row>
    <row r="13" spans="1:12">
      <c r="C13" s="3" t="s">
        <v>2</v>
      </c>
      <c r="D13" s="4">
        <v>43</v>
      </c>
      <c r="E13" s="14">
        <v>43</v>
      </c>
      <c r="F13" s="3" t="s">
        <v>19</v>
      </c>
      <c r="G13" s="4">
        <v>9.25</v>
      </c>
      <c r="H13" s="1">
        <v>9.25</v>
      </c>
      <c r="J13" s="21" t="s">
        <v>29</v>
      </c>
      <c r="K13" s="22">
        <v>0.7</v>
      </c>
      <c r="L13" s="14">
        <v>0.7</v>
      </c>
    </row>
    <row r="14" spans="1:12">
      <c r="C14" s="3" t="s">
        <v>3</v>
      </c>
      <c r="D14" s="4">
        <v>0.27</v>
      </c>
      <c r="E14" s="14">
        <v>0.27</v>
      </c>
      <c r="F14" s="3" t="s">
        <v>20</v>
      </c>
      <c r="G14" s="4">
        <v>4.75</v>
      </c>
      <c r="H14" s="1">
        <v>4.75</v>
      </c>
      <c r="J14" s="8" t="s">
        <v>30</v>
      </c>
      <c r="K14" s="9">
        <v>0.32400000000000001</v>
      </c>
      <c r="L14" s="14">
        <v>0.32400000000000001</v>
      </c>
    </row>
    <row r="15" spans="1:12">
      <c r="C15" s="3" t="s">
        <v>4</v>
      </c>
      <c r="D15" s="4">
        <v>0.1</v>
      </c>
      <c r="E15" s="14">
        <v>0.1</v>
      </c>
      <c r="F15" s="3" t="s">
        <v>21</v>
      </c>
      <c r="G15" s="4">
        <v>14.2</v>
      </c>
      <c r="H15" s="1">
        <v>14.2</v>
      </c>
      <c r="J15" s="10" t="s">
        <v>31</v>
      </c>
      <c r="K15" s="11">
        <v>0.68979999999999997</v>
      </c>
      <c r="L15" s="14">
        <v>0.68979999999999997</v>
      </c>
    </row>
    <row r="16" spans="1:12">
      <c r="C16" s="3" t="s">
        <v>5</v>
      </c>
      <c r="D16" s="4">
        <v>10</v>
      </c>
      <c r="E16" s="14">
        <v>10</v>
      </c>
      <c r="F16" s="3" t="s">
        <v>22</v>
      </c>
      <c r="G16" s="4">
        <v>5.33</v>
      </c>
      <c r="H16" s="1">
        <v>5.33</v>
      </c>
      <c r="J16" s="12" t="s">
        <v>32</v>
      </c>
      <c r="K16" s="13">
        <v>0.15</v>
      </c>
      <c r="L16" s="14">
        <v>0.15</v>
      </c>
    </row>
    <row r="17" spans="3:23">
      <c r="C17" s="3" t="s">
        <v>6</v>
      </c>
      <c r="D17" s="4">
        <v>-7</v>
      </c>
      <c r="E17" s="14">
        <v>-7</v>
      </c>
      <c r="F17" s="3" t="s">
        <v>23</v>
      </c>
      <c r="G17" s="4">
        <v>3.33</v>
      </c>
      <c r="H17" s="1">
        <v>3.33</v>
      </c>
      <c r="J17" s="8" t="s">
        <v>33</v>
      </c>
      <c r="K17" s="9">
        <v>75.900000000000006</v>
      </c>
      <c r="L17" s="14">
        <v>75.900000000000006</v>
      </c>
    </row>
    <row r="18" spans="3:23">
      <c r="C18" s="3" t="s">
        <v>7</v>
      </c>
      <c r="D18" s="4">
        <v>5</v>
      </c>
      <c r="E18" s="14">
        <v>5</v>
      </c>
      <c r="F18" s="3" t="s">
        <v>24</v>
      </c>
      <c r="G18" s="4">
        <v>12.39</v>
      </c>
      <c r="H18" s="1">
        <v>12.39</v>
      </c>
      <c r="J18" s="10" t="s">
        <v>34</v>
      </c>
      <c r="K18" s="11">
        <v>0.1</v>
      </c>
      <c r="L18" s="14">
        <v>0.1</v>
      </c>
    </row>
    <row r="19" spans="3:23">
      <c r="C19" s="3" t="s">
        <v>8</v>
      </c>
      <c r="D19" s="4">
        <v>2</v>
      </c>
      <c r="E19" s="14">
        <v>2</v>
      </c>
      <c r="F19" s="3" t="s">
        <v>25</v>
      </c>
      <c r="G19" s="4">
        <v>5.6</v>
      </c>
      <c r="H19" s="1">
        <v>5.6</v>
      </c>
      <c r="J19" s="12" t="s">
        <v>35</v>
      </c>
      <c r="K19" s="13">
        <v>0.7</v>
      </c>
      <c r="L19" s="14">
        <v>0.7</v>
      </c>
    </row>
    <row r="20" spans="3:23">
      <c r="C20" s="3" t="s">
        <v>9</v>
      </c>
      <c r="D20" s="4">
        <v>0.26800000000000002</v>
      </c>
      <c r="E20" s="14">
        <v>0.26800000000000002</v>
      </c>
      <c r="F20" s="5"/>
      <c r="G20" s="5"/>
      <c r="J20" s="3" t="s">
        <v>36</v>
      </c>
      <c r="K20" s="4">
        <v>0.3</v>
      </c>
      <c r="L20" s="14">
        <v>0.3</v>
      </c>
    </row>
    <row r="21" spans="3:23">
      <c r="C21" s="8" t="s">
        <v>10</v>
      </c>
      <c r="D21" s="9">
        <v>0.3</v>
      </c>
      <c r="E21" s="14">
        <v>0.3</v>
      </c>
      <c r="F21" s="1"/>
      <c r="J21" s="3" t="s">
        <v>37</v>
      </c>
      <c r="K21" s="4">
        <v>2.1</v>
      </c>
      <c r="L21" s="14">
        <v>2.1</v>
      </c>
    </row>
    <row r="22" spans="3:23">
      <c r="C22" s="12" t="s">
        <v>11</v>
      </c>
      <c r="D22" s="20">
        <v>1</v>
      </c>
      <c r="E22" s="14">
        <v>1</v>
      </c>
      <c r="F22" s="1"/>
      <c r="J22" s="3" t="s">
        <v>38</v>
      </c>
      <c r="K22" s="4">
        <v>0.54</v>
      </c>
      <c r="L22" s="14">
        <v>0.54</v>
      </c>
    </row>
    <row r="23" spans="3:23">
      <c r="C23" s="3" t="s">
        <v>12</v>
      </c>
      <c r="D23" s="4">
        <v>0.40500000000000003</v>
      </c>
      <c r="E23" s="14">
        <v>0.40500000000000003</v>
      </c>
      <c r="F23" s="1"/>
      <c r="J23" s="5"/>
      <c r="K23" s="5"/>
      <c r="L23" s="14"/>
    </row>
    <row r="24" spans="3:23">
      <c r="C24" s="3" t="s">
        <v>13</v>
      </c>
      <c r="D24" s="4">
        <v>0.82</v>
      </c>
      <c r="E24" s="14">
        <v>0.82</v>
      </c>
      <c r="F24" s="1"/>
    </row>
    <row r="25" spans="3:23">
      <c r="C25" s="3" t="s">
        <v>14</v>
      </c>
      <c r="D25" s="4">
        <v>0.82</v>
      </c>
      <c r="E25" s="1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17" t="s">
        <v>75</v>
      </c>
      <c r="O30" s="17">
        <v>2</v>
      </c>
      <c r="P30" s="17"/>
      <c r="Q30" s="17"/>
    </row>
    <row r="31" spans="3:23">
      <c r="C31" s="1"/>
      <c r="D31" s="1"/>
      <c r="E31" s="1"/>
      <c r="F31" s="1"/>
      <c r="N31" s="17"/>
      <c r="O31" s="17">
        <v>0</v>
      </c>
      <c r="P31" s="17">
        <v>1</v>
      </c>
      <c r="Q31" s="17">
        <v>2</v>
      </c>
      <c r="U31" s="17">
        <v>0</v>
      </c>
      <c r="V31" s="17">
        <v>1</v>
      </c>
      <c r="W31" s="17">
        <v>2</v>
      </c>
    </row>
    <row r="32" spans="3:23">
      <c r="C32" s="1"/>
      <c r="D32" s="1"/>
      <c r="E32" s="1"/>
      <c r="F32" s="1"/>
      <c r="N32" s="17" t="s">
        <v>15</v>
      </c>
      <c r="O32" s="17" t="str">
        <f>"risk_f_"&amp;O31</f>
        <v>risk_f_0</v>
      </c>
      <c r="P32" s="17" t="str">
        <f t="shared" ref="P32:Q32" si="0">"risk_f_"&amp;P31</f>
        <v>risk_f_1</v>
      </c>
      <c r="Q32" s="17" t="str">
        <f t="shared" si="0"/>
        <v>risk_f_2</v>
      </c>
      <c r="T32" s="17">
        <v>0</v>
      </c>
      <c r="U32" s="15">
        <f>EXP(-$U$29*ABS(U$31-$T32))</f>
        <v>1</v>
      </c>
      <c r="V32" s="15">
        <f t="shared" ref="V32:W34" si="1">EXP(-$U$29*ABS(V$31-$T32))</f>
        <v>0.74081822068171788</v>
      </c>
      <c r="W32" s="15">
        <f t="shared" si="1"/>
        <v>0.54881163609402639</v>
      </c>
    </row>
    <row r="33" spans="3:23">
      <c r="C33" s="1"/>
      <c r="D33" s="1"/>
      <c r="E33" s="1"/>
      <c r="F33" s="1"/>
      <c r="N33" s="17">
        <v>0</v>
      </c>
      <c r="O33" s="18">
        <f>EXP(-$D$21*(2*$O$30-O$31-$N33)-$D$22*ABS(O$31-$N33))</f>
        <v>0.30119421191220214</v>
      </c>
      <c r="P33" s="18">
        <f t="shared" ref="P33:Q35" si="2">EXP(-$D$21*(2*$O$30-P$31-$N33)-$D$22*ABS(P$31-$N33))</f>
        <v>0.14956861922263506</v>
      </c>
      <c r="Q33" s="18">
        <f t="shared" si="2"/>
        <v>7.4273578214333877E-2</v>
      </c>
      <c r="T33" s="17">
        <f>T32+1</f>
        <v>1</v>
      </c>
      <c r="U33" s="15">
        <f t="shared" ref="U33:U34" si="3">EXP(-$U$29*ABS(U$31-$T33))</f>
        <v>0.74081822068171788</v>
      </c>
      <c r="V33" s="15">
        <f t="shared" si="1"/>
        <v>1</v>
      </c>
      <c r="W33" s="15">
        <f t="shared" si="1"/>
        <v>0.74081822068171788</v>
      </c>
    </row>
    <row r="34" spans="3:23">
      <c r="C34" s="1"/>
      <c r="D34" s="1"/>
      <c r="E34" s="1"/>
      <c r="F34" s="1"/>
      <c r="N34" s="17">
        <f>N33+1</f>
        <v>1</v>
      </c>
      <c r="O34" s="18">
        <f t="shared" ref="O34:O35" si="4">EXP(-$D$21*(2*$O$30-O$31-$N34)-$D$22*ABS(O$31-$N34))</f>
        <v>0.14956861922263506</v>
      </c>
      <c r="P34" s="18">
        <f t="shared" si="2"/>
        <v>0.54881163609402639</v>
      </c>
      <c r="Q34" s="18">
        <f t="shared" si="2"/>
        <v>0.27253179303401259</v>
      </c>
      <c r="T34" s="17">
        <f t="shared" ref="T34" si="5">T33+1</f>
        <v>2</v>
      </c>
      <c r="U34" s="15">
        <f t="shared" si="3"/>
        <v>0.54881163609402639</v>
      </c>
      <c r="V34" s="15">
        <f t="shared" si="1"/>
        <v>0.74081822068171788</v>
      </c>
      <c r="W34" s="15">
        <f t="shared" si="1"/>
        <v>1</v>
      </c>
    </row>
    <row r="35" spans="3:23" s="1" customFormat="1">
      <c r="N35" s="17">
        <f t="shared" ref="N35" si="6">N34+1</f>
        <v>2</v>
      </c>
      <c r="O35" s="18">
        <f t="shared" si="4"/>
        <v>7.4273578214333877E-2</v>
      </c>
      <c r="P35" s="18">
        <f t="shared" si="2"/>
        <v>0.27253179303401259</v>
      </c>
      <c r="Q35" s="18">
        <f t="shared" si="2"/>
        <v>1</v>
      </c>
    </row>
    <row r="36" spans="3:23" s="1" customFormat="1">
      <c r="N36" s="17" t="s">
        <v>39</v>
      </c>
      <c r="O36" s="17" t="str">
        <f>"risk_f_"&amp;O31</f>
        <v>risk_f_0</v>
      </c>
      <c r="P36" s="17" t="str">
        <f t="shared" ref="P36:Q36" si="7">"risk_f_"&amp;P31</f>
        <v>risk_f_1</v>
      </c>
      <c r="Q36" s="17" t="str">
        <f t="shared" si="7"/>
        <v>risk_f_2</v>
      </c>
    </row>
    <row r="37" spans="3:23" s="1" customFormat="1">
      <c r="N37" s="17">
        <v>0</v>
      </c>
      <c r="O37" s="18">
        <f t="shared" ref="O37:Q39" si="8">EXP(($N37+O$31-2*$O$30)*$K$13)</f>
        <v>6.0810062625217973E-2</v>
      </c>
      <c r="P37" s="18">
        <f t="shared" si="8"/>
        <v>0.12245642825298195</v>
      </c>
      <c r="Q37" s="18">
        <f t="shared" si="8"/>
        <v>0.24659696394160649</v>
      </c>
    </row>
    <row r="38" spans="3:23" s="1" customFormat="1">
      <c r="N38" s="17">
        <f>N37+1</f>
        <v>1</v>
      </c>
      <c r="O38" s="18">
        <f t="shared" si="8"/>
        <v>0.12245642825298195</v>
      </c>
      <c r="P38" s="18">
        <f t="shared" si="8"/>
        <v>0.24659696394160649</v>
      </c>
      <c r="Q38" s="18">
        <f t="shared" si="8"/>
        <v>0.49658530379140953</v>
      </c>
    </row>
    <row r="39" spans="3:23" s="1" customFormat="1">
      <c r="N39" s="17">
        <f t="shared" ref="N39" si="9">N38+1</f>
        <v>2</v>
      </c>
      <c r="O39" s="18">
        <f t="shared" si="8"/>
        <v>0.24659696394160649</v>
      </c>
      <c r="P39" s="18">
        <f t="shared" si="8"/>
        <v>0.49658530379140953</v>
      </c>
      <c r="Q39" s="18">
        <f t="shared" si="8"/>
        <v>1</v>
      </c>
    </row>
    <row r="40" spans="3:23" s="1" customFormat="1"/>
    <row r="41" spans="3:23" s="1" customFormat="1"/>
    <row r="42" spans="3:23" s="1" customFormat="1">
      <c r="O42" s="18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18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76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tabSelected="1" showRuler="0" topLeftCell="B1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16</v>
      </c>
    </row>
    <row r="3" spans="1:9">
      <c r="F3" s="35">
        <v>42331.529861111114</v>
      </c>
    </row>
    <row r="5" spans="1:9" ht="18">
      <c r="B5" s="6" t="s">
        <v>65</v>
      </c>
      <c r="C5" s="5"/>
      <c r="F5" s="6" t="s">
        <v>73</v>
      </c>
      <c r="G5" s="5"/>
    </row>
    <row r="6" spans="1:9">
      <c r="B6" s="3" t="s">
        <v>40</v>
      </c>
      <c r="C6" s="33">
        <v>0.5</v>
      </c>
      <c r="D6" s="1">
        <v>0.2</v>
      </c>
      <c r="F6" s="3" t="s">
        <v>66</v>
      </c>
      <c r="G6" s="4">
        <v>5.0000000000000001E-3</v>
      </c>
    </row>
    <row r="7" spans="1:9">
      <c r="B7" s="3" t="s">
        <v>41</v>
      </c>
      <c r="C7" s="33">
        <v>0.4</v>
      </c>
      <c r="D7" s="1">
        <v>0.6</v>
      </c>
      <c r="F7" s="3" t="s">
        <v>67</v>
      </c>
      <c r="G7" s="4">
        <v>800</v>
      </c>
      <c r="H7" s="1">
        <v>200</v>
      </c>
    </row>
    <row r="8" spans="1:9">
      <c r="B8" s="3" t="s">
        <v>42</v>
      </c>
      <c r="C8" s="33">
        <v>0.1</v>
      </c>
      <c r="D8" s="1">
        <v>0.2</v>
      </c>
      <c r="F8" s="3" t="s">
        <v>68</v>
      </c>
      <c r="G8" s="32">
        <v>5.0000000000000001E-4</v>
      </c>
      <c r="H8" s="1">
        <v>0.02</v>
      </c>
    </row>
    <row r="9" spans="1:9">
      <c r="B9" s="8" t="s">
        <v>43</v>
      </c>
      <c r="C9" s="9">
        <v>0.35</v>
      </c>
      <c r="F9" s="3" t="s">
        <v>69</v>
      </c>
      <c r="G9" s="4">
        <v>15</v>
      </c>
    </row>
    <row r="10" spans="1:9">
      <c r="B10" s="10" t="s">
        <v>44</v>
      </c>
      <c r="C10" s="11">
        <v>0.6</v>
      </c>
      <c r="F10" s="3" t="s">
        <v>70</v>
      </c>
      <c r="G10" s="4">
        <v>45</v>
      </c>
    </row>
    <row r="11" spans="1:9">
      <c r="B11" s="10" t="s">
        <v>45</v>
      </c>
      <c r="C11" s="11">
        <v>0.35</v>
      </c>
      <c r="F11" s="3" t="s">
        <v>71</v>
      </c>
      <c r="G11" s="4">
        <v>0.05</v>
      </c>
      <c r="H11" s="1">
        <v>0.05</v>
      </c>
    </row>
    <row r="12" spans="1:9">
      <c r="B12" s="12" t="s">
        <v>46</v>
      </c>
      <c r="C12" s="13">
        <v>0.7</v>
      </c>
      <c r="F12" s="3" t="s">
        <v>72</v>
      </c>
      <c r="G12" s="4">
        <v>55</v>
      </c>
    </row>
    <row r="13" spans="1:9">
      <c r="B13" s="3" t="s">
        <v>47</v>
      </c>
      <c r="C13" s="4">
        <v>360</v>
      </c>
      <c r="F13" s="5"/>
      <c r="G13" s="5"/>
    </row>
    <row r="14" spans="1:9" ht="17" thickBot="1">
      <c r="B14" s="3" t="s">
        <v>48</v>
      </c>
      <c r="C14" s="4">
        <v>500</v>
      </c>
    </row>
    <row r="15" spans="1:9">
      <c r="B15" s="26" t="s">
        <v>49</v>
      </c>
      <c r="C15" s="27">
        <v>20</v>
      </c>
      <c r="D15" s="1">
        <v>19</v>
      </c>
      <c r="H15" s="24"/>
      <c r="I15" s="31" t="s">
        <v>74</v>
      </c>
    </row>
    <row r="16" spans="1:9">
      <c r="B16" s="10" t="s">
        <v>50</v>
      </c>
      <c r="C16" s="11">
        <v>30</v>
      </c>
      <c r="D16" s="1">
        <v>25</v>
      </c>
      <c r="H16" s="24">
        <v>0</v>
      </c>
      <c r="I16" s="25">
        <f>$C$25*EXP(-$C$26*(2-H16))</f>
        <v>5.6267587359629558E-8</v>
      </c>
    </row>
    <row r="17" spans="2:28">
      <c r="B17" s="12" t="s">
        <v>51</v>
      </c>
      <c r="C17" s="13">
        <v>5</v>
      </c>
      <c r="D17" s="1">
        <v>3</v>
      </c>
      <c r="H17" s="24">
        <v>1</v>
      </c>
      <c r="I17" s="25">
        <f t="shared" ref="I17:I18" si="0">$C$25*EXP(-$C$26*(2-H17))</f>
        <v>1.6773131395125593E-4</v>
      </c>
    </row>
    <row r="18" spans="2:28">
      <c r="B18" s="10" t="s">
        <v>52</v>
      </c>
      <c r="C18" s="11">
        <v>0.4</v>
      </c>
      <c r="H18" s="24">
        <v>2</v>
      </c>
      <c r="I18" s="25">
        <f t="shared" si="0"/>
        <v>0.5</v>
      </c>
    </row>
    <row r="19" spans="2:28">
      <c r="B19" s="8" t="s">
        <v>53</v>
      </c>
      <c r="C19" s="9">
        <v>0.1</v>
      </c>
    </row>
    <row r="20" spans="2:28">
      <c r="B20" s="12" t="s">
        <v>54</v>
      </c>
      <c r="C20" s="13">
        <v>0.2</v>
      </c>
      <c r="Y20" s="1" t="s">
        <v>81</v>
      </c>
      <c r="Z20" s="1" t="s">
        <v>82</v>
      </c>
      <c r="AA20" s="1" t="s">
        <v>81</v>
      </c>
      <c r="AB20" s="1" t="s">
        <v>82</v>
      </c>
    </row>
    <row r="21" spans="2:28" ht="17" thickBot="1">
      <c r="B21" s="28" t="s">
        <v>55</v>
      </c>
      <c r="C21" s="29">
        <v>2</v>
      </c>
      <c r="X21" s="1">
        <v>0</v>
      </c>
      <c r="Y21" s="30">
        <f t="shared" ref="Y21:Z23" si="1">1/AA21</f>
        <v>2.8571428571428572</v>
      </c>
      <c r="Z21" s="30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56</v>
      </c>
      <c r="C22" s="4">
        <v>2</v>
      </c>
      <c r="X22" s="1">
        <v>1</v>
      </c>
      <c r="Y22" s="30">
        <f t="shared" si="1"/>
        <v>5.2060537154014552</v>
      </c>
      <c r="Z22" s="30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57</v>
      </c>
      <c r="C23" s="4">
        <v>99999</v>
      </c>
      <c r="X23" s="1">
        <v>2</v>
      </c>
      <c r="Y23" s="30">
        <f t="shared" si="1"/>
        <v>9.4860483506758495</v>
      </c>
      <c r="Z23" s="30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58</v>
      </c>
      <c r="C24" s="4">
        <v>99999</v>
      </c>
    </row>
    <row r="25" spans="2:28">
      <c r="B25" s="8" t="s">
        <v>59</v>
      </c>
      <c r="C25" s="9">
        <v>0.5</v>
      </c>
      <c r="D25" s="16">
        <v>0.1</v>
      </c>
    </row>
    <row r="26" spans="2:28">
      <c r="B26" s="12" t="s">
        <v>60</v>
      </c>
      <c r="C26" s="19">
        <v>8</v>
      </c>
      <c r="D26" s="1">
        <v>6</v>
      </c>
    </row>
    <row r="27" spans="2:28">
      <c r="B27" s="3" t="s">
        <v>61</v>
      </c>
      <c r="C27" s="4">
        <v>0.1</v>
      </c>
    </row>
    <row r="28" spans="2:28">
      <c r="B28" s="3" t="s">
        <v>62</v>
      </c>
      <c r="C28" s="4">
        <v>0.2</v>
      </c>
    </row>
    <row r="29" spans="2:28">
      <c r="B29" s="3" t="s">
        <v>63</v>
      </c>
      <c r="C29" s="4">
        <v>0.7</v>
      </c>
    </row>
    <row r="30" spans="2:28">
      <c r="B30" s="3" t="s">
        <v>64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23" t="s">
        <v>78</v>
      </c>
      <c r="Y33" s="1" t="s">
        <v>79</v>
      </c>
      <c r="AD33" s="1" t="s">
        <v>77</v>
      </c>
      <c r="AH33" s="1" t="s">
        <v>80</v>
      </c>
    </row>
    <row r="34" spans="20:34">
      <c r="T34" s="1">
        <v>12</v>
      </c>
      <c r="U34" s="15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15">
        <f>2/(1+EXP(-$C$21*AG34))-1</f>
        <v>0</v>
      </c>
    </row>
    <row r="35" spans="20:34">
      <c r="T35" s="1">
        <f>T34+1</f>
        <v>13</v>
      </c>
      <c r="U35" s="15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15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15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15">
        <f t="shared" si="6"/>
        <v>0.9640275800758169</v>
      </c>
    </row>
    <row r="37" spans="20:34">
      <c r="T37" s="1">
        <f t="shared" si="7"/>
        <v>15</v>
      </c>
      <c r="U37" s="15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15">
        <f t="shared" si="6"/>
        <v>0.99505475368673069</v>
      </c>
    </row>
    <row r="38" spans="20:34">
      <c r="T38" s="1">
        <f t="shared" si="7"/>
        <v>16</v>
      </c>
      <c r="U38" s="15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15">
        <f t="shared" si="6"/>
        <v>0.99932929973906726</v>
      </c>
    </row>
    <row r="39" spans="20:34">
      <c r="T39" s="1">
        <f t="shared" si="7"/>
        <v>17</v>
      </c>
      <c r="U39" s="15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15">
        <f t="shared" si="6"/>
        <v>0.99990920426259522</v>
      </c>
    </row>
    <row r="40" spans="20:34">
      <c r="T40" s="1">
        <f t="shared" si="7"/>
        <v>18</v>
      </c>
      <c r="U40" s="15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15">
        <f t="shared" si="6"/>
        <v>0.99998771165079559</v>
      </c>
    </row>
    <row r="41" spans="20:34">
      <c r="T41" s="1">
        <f t="shared" si="7"/>
        <v>19</v>
      </c>
      <c r="U41" s="15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15">
        <f t="shared" si="6"/>
        <v>0.99999833694394447</v>
      </c>
    </row>
    <row r="42" spans="20:34">
      <c r="T42" s="1">
        <f t="shared" si="7"/>
        <v>20</v>
      </c>
      <c r="U42" s="15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15">
        <f t="shared" si="6"/>
        <v>0.99999977492967584</v>
      </c>
    </row>
    <row r="43" spans="20:34">
      <c r="T43" s="1">
        <f t="shared" si="7"/>
        <v>21</v>
      </c>
      <c r="U43" s="15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15">
        <f t="shared" si="6"/>
        <v>0.999999969540041</v>
      </c>
    </row>
    <row r="44" spans="20:34">
      <c r="T44" s="1">
        <f t="shared" si="7"/>
        <v>22</v>
      </c>
      <c r="U44" s="15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15">
        <f t="shared" si="6"/>
        <v>0.99999999587769262</v>
      </c>
    </row>
    <row r="45" spans="20:34">
      <c r="T45" s="1">
        <f t="shared" si="7"/>
        <v>23</v>
      </c>
      <c r="U45" s="15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15">
        <f t="shared" si="6"/>
        <v>0.99999999944210627</v>
      </c>
    </row>
    <row r="46" spans="20:34">
      <c r="T46" s="1">
        <f t="shared" si="7"/>
        <v>24</v>
      </c>
      <c r="U46" s="15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15">
        <f t="shared" si="6"/>
        <v>0.99999999992449728</v>
      </c>
    </row>
    <row r="47" spans="20:34">
      <c r="T47" s="1">
        <f t="shared" si="7"/>
        <v>25</v>
      </c>
      <c r="U47" s="15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15">
        <f t="shared" si="6"/>
        <v>0.99999999998978195</v>
      </c>
    </row>
    <row r="48" spans="20:34">
      <c r="T48" s="1">
        <f t="shared" si="7"/>
        <v>26</v>
      </c>
      <c r="U48" s="15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15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15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15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15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15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15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15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15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15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15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15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15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15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15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15">
        <f t="shared" si="2"/>
        <v>0.84529466198729941</v>
      </c>
    </row>
    <row r="64" spans="20:30">
      <c r="T64" s="1">
        <f t="shared" si="7"/>
        <v>42</v>
      </c>
      <c r="U64" s="15">
        <f t="shared" si="2"/>
        <v>0.80889705363488418</v>
      </c>
    </row>
    <row r="65" spans="20:21">
      <c r="T65" s="1">
        <f t="shared" si="7"/>
        <v>43</v>
      </c>
      <c r="U65" s="15">
        <f t="shared" si="2"/>
        <v>0.76730563007979435</v>
      </c>
    </row>
    <row r="66" spans="20:21">
      <c r="T66" s="1">
        <f t="shared" si="7"/>
        <v>44</v>
      </c>
      <c r="U66" s="15">
        <f t="shared" si="2"/>
        <v>0.72059357275812796</v>
      </c>
    </row>
    <row r="67" spans="20:21">
      <c r="T67" s="1">
        <f t="shared" si="7"/>
        <v>45</v>
      </c>
      <c r="U67" s="15">
        <f t="shared" si="2"/>
        <v>0.66906265266781872</v>
      </c>
    </row>
    <row r="68" spans="20:21">
      <c r="T68" s="1">
        <f t="shared" si="7"/>
        <v>46</v>
      </c>
      <c r="U68" s="15">
        <f t="shared" si="2"/>
        <v>0.6132727406148557</v>
      </c>
    </row>
    <row r="69" spans="20:21">
      <c r="T69" s="1">
        <f t="shared" si="7"/>
        <v>47</v>
      </c>
      <c r="U69" s="15">
        <f t="shared" si="2"/>
        <v>0.5540557309011096</v>
      </c>
    </row>
    <row r="70" spans="20:21">
      <c r="T70" s="1">
        <f t="shared" si="7"/>
        <v>48</v>
      </c>
      <c r="U70" s="15">
        <f t="shared" si="2"/>
        <v>0.49250749672567706</v>
      </c>
    </row>
    <row r="71" spans="20:21">
      <c r="T71" s="1">
        <f t="shared" si="7"/>
        <v>49</v>
      </c>
      <c r="U71" s="15">
        <f t="shared" si="2"/>
        <v>0.42995264435709701</v>
      </c>
    </row>
    <row r="72" spans="20:21">
      <c r="T72" s="1">
        <f t="shared" si="7"/>
        <v>50</v>
      </c>
      <c r="U72" s="15">
        <f t="shared" si="2"/>
        <v>0.36787944117144233</v>
      </c>
    </row>
    <row r="73" spans="20:21">
      <c r="T73" s="1">
        <f t="shared" si="7"/>
        <v>51</v>
      </c>
      <c r="U73" s="15">
        <f t="shared" si="2"/>
        <v>0.30784638755075239</v>
      </c>
    </row>
    <row r="74" spans="20:21">
      <c r="T74" s="1">
        <f t="shared" si="7"/>
        <v>52</v>
      </c>
      <c r="U74" s="15">
        <f t="shared" si="2"/>
        <v>0.25136710892065856</v>
      </c>
    </row>
    <row r="75" spans="20:21">
      <c r="T75" s="1">
        <f t="shared" si="7"/>
        <v>53</v>
      </c>
      <c r="U75" s="15">
        <f t="shared" si="2"/>
        <v>0.19978569738293162</v>
      </c>
    </row>
    <row r="76" spans="20:21">
      <c r="T76" s="1">
        <f t="shared" si="7"/>
        <v>54</v>
      </c>
      <c r="U76" s="15">
        <f t="shared" si="2"/>
        <v>0.15415903186230032</v>
      </c>
    </row>
    <row r="77" spans="20:21">
      <c r="T77" s="1">
        <f t="shared" si="7"/>
        <v>55</v>
      </c>
      <c r="U77" s="15">
        <f t="shared" si="2"/>
        <v>0.11516446602782729</v>
      </c>
    </row>
    <row r="78" spans="20:21">
      <c r="T78" s="1">
        <f t="shared" si="7"/>
        <v>56</v>
      </c>
      <c r="U78" s="15">
        <f t="shared" si="2"/>
        <v>8.3049372387112769E-2</v>
      </c>
    </row>
    <row r="79" spans="20:21">
      <c r="T79" s="1">
        <f t="shared" si="7"/>
        <v>57</v>
      </c>
      <c r="U79" s="15">
        <f t="shared" si="2"/>
        <v>5.7632952555076798E-2</v>
      </c>
    </row>
    <row r="80" spans="20:21">
      <c r="T80" s="1">
        <f t="shared" si="7"/>
        <v>58</v>
      </c>
      <c r="U80" s="15">
        <f t="shared" si="2"/>
        <v>3.8361286113799832E-2</v>
      </c>
    </row>
    <row r="81" spans="20:21">
      <c r="T81" s="1">
        <f t="shared" si="7"/>
        <v>59</v>
      </c>
      <c r="U81" s="15">
        <f t="shared" si="2"/>
        <v>2.4405909094469651E-2</v>
      </c>
    </row>
    <row r="82" spans="20:21">
      <c r="T82" s="1">
        <f t="shared" si="7"/>
        <v>60</v>
      </c>
      <c r="U82" s="15">
        <f t="shared" si="2"/>
        <v>1.4787223182517921E-2</v>
      </c>
    </row>
    <row r="83" spans="20:21">
      <c r="T83" s="1">
        <f t="shared" si="7"/>
        <v>61</v>
      </c>
      <c r="U83" s="15">
        <f t="shared" si="2"/>
        <v>8.499525869339471E-3</v>
      </c>
    </row>
    <row r="84" spans="20:21">
      <c r="T84" s="1">
        <f t="shared" si="7"/>
        <v>62</v>
      </c>
      <c r="U84" s="15">
        <f t="shared" si="2"/>
        <v>4.6159388373727978E-3</v>
      </c>
    </row>
    <row r="85" spans="20:21">
      <c r="T85" s="1">
        <f t="shared" si="7"/>
        <v>63</v>
      </c>
      <c r="U85" s="15">
        <f t="shared" si="2"/>
        <v>2.3584983269535802E-3</v>
      </c>
    </row>
    <row r="86" spans="20:21">
      <c r="T86" s="1">
        <f t="shared" si="7"/>
        <v>64</v>
      </c>
      <c r="U86" s="15">
        <f t="shared" si="2"/>
        <v>1.1287145222061334E-3</v>
      </c>
    </row>
    <row r="87" spans="20:21">
      <c r="T87" s="1">
        <f t="shared" si="7"/>
        <v>65</v>
      </c>
      <c r="U87" s="15">
        <f t="shared" si="2"/>
        <v>5.0358904973695255E-4</v>
      </c>
    </row>
    <row r="88" spans="20:21">
      <c r="T88" s="1">
        <f t="shared" si="7"/>
        <v>66</v>
      </c>
      <c r="U88" s="15">
        <f t="shared" si="2"/>
        <v>2.084434797635917E-4</v>
      </c>
    </row>
    <row r="89" spans="20:21">
      <c r="T89" s="1">
        <f t="shared" si="7"/>
        <v>67</v>
      </c>
      <c r="U89" s="15">
        <f t="shared" si="2"/>
        <v>7.963426191225911E-5</v>
      </c>
    </row>
    <row r="90" spans="20:21">
      <c r="T90" s="1">
        <f t="shared" si="7"/>
        <v>68</v>
      </c>
      <c r="U90" s="15">
        <f t="shared" si="2"/>
        <v>2.7931373575515185E-5</v>
      </c>
    </row>
    <row r="91" spans="20:21">
      <c r="T91" s="1">
        <f t="shared" si="7"/>
        <v>69</v>
      </c>
      <c r="U91" s="15">
        <f t="shared" si="2"/>
        <v>8.9442844052088149E-6</v>
      </c>
    </row>
    <row r="92" spans="20:21">
      <c r="T92" s="1">
        <f t="shared" si="7"/>
        <v>70</v>
      </c>
      <c r="U92" s="15">
        <f t="shared" si="2"/>
        <v>2.5997837108630648E-6</v>
      </c>
    </row>
    <row r="93" spans="20:21">
      <c r="T93" s="1">
        <f t="shared" si="7"/>
        <v>71</v>
      </c>
      <c r="U93" s="15">
        <f t="shared" si="2"/>
        <v>6.8177237214379498E-7</v>
      </c>
    </row>
    <row r="94" spans="20:21">
      <c r="T94" s="1">
        <f t="shared" si="7"/>
        <v>72</v>
      </c>
      <c r="U94" s="15">
        <f t="shared" si="2"/>
        <v>1.6029395943683165E-7</v>
      </c>
    </row>
    <row r="95" spans="20:21">
      <c r="T95" s="1">
        <f t="shared" si="7"/>
        <v>73</v>
      </c>
      <c r="U95" s="15">
        <f t="shared" si="2"/>
        <v>3.3568051519322338E-8</v>
      </c>
    </row>
    <row r="96" spans="20:21">
      <c r="T96" s="1">
        <f t="shared" si="7"/>
        <v>74</v>
      </c>
      <c r="U96" s="15">
        <f t="shared" si="2"/>
        <v>6.218855191180474E-9</v>
      </c>
    </row>
    <row r="97" spans="20:21">
      <c r="T97" s="1">
        <f t="shared" si="7"/>
        <v>75</v>
      </c>
      <c r="U97" s="15">
        <f t="shared" si="2"/>
        <v>1.0120466682596007E-9</v>
      </c>
    </row>
    <row r="98" spans="20:21">
      <c r="T98" s="1">
        <f t="shared" si="7"/>
        <v>76</v>
      </c>
      <c r="U98" s="15">
        <f t="shared" si="2"/>
        <v>1.4361872158607134E-10</v>
      </c>
    </row>
    <row r="99" spans="20:21">
      <c r="T99" s="1">
        <f t="shared" si="7"/>
        <v>77</v>
      </c>
      <c r="U99" s="15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15">
        <f t="shared" si="9"/>
        <v>1.8597731753764295E-12</v>
      </c>
    </row>
    <row r="101" spans="20:21">
      <c r="T101" s="1">
        <f t="shared" si="10"/>
        <v>79</v>
      </c>
      <c r="U101" s="15">
        <f t="shared" si="9"/>
        <v>1.6700493278966639E-13</v>
      </c>
    </row>
    <row r="102" spans="20:21">
      <c r="T102" s="1">
        <f t="shared" si="10"/>
        <v>80</v>
      </c>
      <c r="U102" s="15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partnerships</vt:lpstr>
      <vt:lpstr>sex-activity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2015-11-23T17:59:06Z</dcterms:modified>
</cp:coreProperties>
</file>