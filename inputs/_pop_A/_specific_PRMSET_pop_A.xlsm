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46300" yWindow="0" windowWidth="19200" windowHeight="23560" tabRatio="500" activeTab="2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5" l="1"/>
  <c r="C16" i="5"/>
  <c r="C15" i="5"/>
  <c r="C14" i="5"/>
  <c r="C13" i="5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<sst xmlns="http://schemas.openxmlformats.org/spreadsheetml/2006/main" count="442" uniqueCount="357">
  <si>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</si>
  <si>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</si>
  <si>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</si>
  <si>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</si>
  <si>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</si>
  <si>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</si>
  <si>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</si>
  <si>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</si>
  <si>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</si>
  <si>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</si>
  <si>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</si>
  <si>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</si>
  <si>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</si>
  <si>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</si>
  <si>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</si>
  <si>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</si>
  <si>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</si>
  <si>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</si>
  <si>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</si>
  <si>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</si>
  <si>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</si>
  <si>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</si>
  <si>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</si>
  <si>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</si>
  <si>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</si>
  <si>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</si>
  <si>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</si>
  <si>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</si>
  <si>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</si>
  <si>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</si>
  <si>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</si>
  <si>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</si>
  <si>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</si>
  <si>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</si>
  <si>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</si>
  <si>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</si>
  <si>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</si>
  <si>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</si>
  <si>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</si>
  <si>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</si>
  <si>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</si>
  <si>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</si>
  <si>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</si>
  <si>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</si>
  <si>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</si>
  <si>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</si>
  <si>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</si>
  <si>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</si>
  <si>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</si>
  <si>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</si>
  <si>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</si>
  <si>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</si>
  <si>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</si>
  <si>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</si>
  <si>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</si>
  <si>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</si>
  <si>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</si>
  <si>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</si>
  <si>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</si>
  <si>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</si>
  <si>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</si>
  <si>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</si>
  <si>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</si>
  <si>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</si>
  <si>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</si>
  <si>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</si>
  <si>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</si>
  <si>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</si>
  <si>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</si>
  <si>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</si>
  <si>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</si>
  <si>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</si>
  <si>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</si>
  <si>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</si>
  <si>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</si>
  <si>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</si>
  <si>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</si>
  <si>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</si>
  <si>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</si>
  <si>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</si>
  <si>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</si>
  <si>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</si>
  <si>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</si>
  <si>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</si>
  <si>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</si>
  <si>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</si>
  <si>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</si>
  <si>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</si>
  <si>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</si>
  <si>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</si>
  <si>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</si>
  <si>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</si>
  <si>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</si>
  <si>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</si>
  <si>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</si>
  <si>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</si>
  <si>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</si>
  <si>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</si>
  <si>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</si>
  <si>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</si>
  <si>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</si>
  <si>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</si>
  <si>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</si>
  <si>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</si>
  <si>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</si>
  <si>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</si>
  <si>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</si>
  <si>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</si>
  <si>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</si>
  <si>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</si>
  <si>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</si>
  <si>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</si>
  <si>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</si>
  <si>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</si>
  <si>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</si>
  <si>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</si>
  <si>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</si>
  <si>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</si>
  <si>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</si>
  <si>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</si>
  <si>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</si>
  <si>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</si>
  <si>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</si>
  <si>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</si>
  <si>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</si>
  <si>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</si>
  <si>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</si>
  <si>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</si>
  <si>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</si>
  <si>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</si>
  <si>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</si>
  <si>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</si>
  <si>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</si>
  <si>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</si>
  <si>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</si>
  <si>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</si>
  <si>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</si>
  <si>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</si>
  <si>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</si>
  <si>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</si>
  <si>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</si>
  <si>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</si>
  <si>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</si>
  <si>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</si>
  <si>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</si>
  <si>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</si>
  <si>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</si>
  <si>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</si>
  <si>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</si>
  <si>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</si>
  <si>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</si>
  <si>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</si>
  <si>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</si>
  <si>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</si>
  <si>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</si>
  <si>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</si>
  <si>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</si>
  <si>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</si>
  <si>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</si>
  <si>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</si>
  <si>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</si>
  <si>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</si>
  <si>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</si>
  <si>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</si>
  <si>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</si>
  <si>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</si>
  <si>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</si>
  <si>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</si>
  <si>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</si>
  <si>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</si>
  <si>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</si>
  <si>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</si>
  <si>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</si>
  <si>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</si>
  <si>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</si>
  <si>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</si>
  <si>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</si>
  <si>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</si>
  <si>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</si>
  <si>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</si>
  <si>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</si>
  <si>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</si>
  <si>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</si>
  <si>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</si>
  <si>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</si>
  <si>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</si>
  <si>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</si>
  <si>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</si>
  <si>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</si>
  <si>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</si>
  <si>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</si>
  <si>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</si>
  <si>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</si>
  <si>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</si>
  <si>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</si>
  <si>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</si>
  <si>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</si>
  <si>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</si>
  <si>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</si>
  <si>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</si>
  <si>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</si>
  <si>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</si>
  <si>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</si>
  <si>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</si>
  <si>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</si>
  <si>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</si>
  <si>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</si>
  <si>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</si>
  <si>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</si>
  <si>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</si>
  <si>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</si>
  <si>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</si>
  <si>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</si>
  <si>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</si>
  <si>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</si>
  <si>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</si>
  <si>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</si>
  <si>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</si>
  <si>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</si>
  <si>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</si>
  <si>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</si>
  <si>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</si>
  <si>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</si>
  <si>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</si>
  <si>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</si>
  <si>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</si>
  <si>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</si>
  <si>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</si>
  <si>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</si>
  <si>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</si>
  <si>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</si>
  <si>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</si>
  <si>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</si>
  <si>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</si>
  <si>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</si>
  <si>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</si>
  <si>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</si>
  <si>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</si>
  <si>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</si>
  <si>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</si>
  <si>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</si>
  <si>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</si>
  <si>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</si>
  <si>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</si>
  <si>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</si>
  <si>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</si>
  <si>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</si>
  <si>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</si>
  <si>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</si>
  <si>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</si>
  <si>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</si>
  <si>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</si>
  <si>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</si>
  <si>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</si>
  <si>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</si>
  <si>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</si>
  <si>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</si>
  <si>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</si>
  <si>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</si>
  <si>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</si>
  <si>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</si>
  <si>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</si>
  <si>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</si>
  <si>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</si>
  <si>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</si>
  <si>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</si>
  <si>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</si>
  <si>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</si>
  <si>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</si>
  <si>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</si>
  <si>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</si>
  <si>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</si>
  <si>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</si>
  <si>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</si>
  <si>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</si>
  <si>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</si>
  <si>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</si>
  <si>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</si>
  <si>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</si>
  <si>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</si>
  <si>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</si>
  <si>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</si>
  <si>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</si>
  <si>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</si>
  <si>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</si>
  <si>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</si>
  <si>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</si>
  <si>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</si>
  <si>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</si>
  <si>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</si>
  <si>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</si>
  <si>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</si>
  <si>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</si>
  <si>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</si>
  <si>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</si>
  <si>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</si>
  <si>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</si>
  <si>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</si>
  <si>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</si>
  <si>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</si>
  <si>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</si>
  <si>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</si>
  <si>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</si>
  <si>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</si>
  <si>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</si>
  <si>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</si>
  <si>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</si>
  <si>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</si>
  <si>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</si>
  <si>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</si>
  <si>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</si>
  <si>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</si>
  <si>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</si>
  <si>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</si>
  <si>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</si>
  <si>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</si>
  <si>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</si>
  <si>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</si>
  <si>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</si>
  <si>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</si>
  <si>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</si>
  <si>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</si>
  <si>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</si>
  <si>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</si>
  <si>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</si>
  <si>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</si>
  <si>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</si>
  <si>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</si>
  <si>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</si>
  <si>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</si>
  <si>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</si>
  <si>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</si>
  <si>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</si>
  <si>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</si>
  <si>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</si>
  <si>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</si>
  <si>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</si>
  <si>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</si>
  <si>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</si>
  <si>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</si>
  <si>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</si>
  <si>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</si>
  <si>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</si>
  <si>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</si>
  <si>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</si>
  <si>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</si>
  <si>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</si>
  <si>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</si>
  <si>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</si>
  <si>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</si>
  <si>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</si>
  <si>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founder_size</t>
  </si>
  <si>
    <t>founder_femprop</t>
  </si>
  <si>
    <t>founder_cswprop</t>
  </si>
  <si>
    <t>vaccination_highRisk</t>
  </si>
  <si>
    <t>interv_Tp_vaxHiRisk.csv</t>
  </si>
  <si>
    <t>in_scenario_VaxHiRiskcsv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</si>
</sst>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872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5" borderId="0" xfId="0" applyFont="1" applyFill="1"/>
    <xf numFmtId="0" fontId="20" fillId="2" borderId="0" xfId="0" applyFont="1" applyFill="1" applyAlignment="1">
      <alignment horizontal="left"/>
    </xf>
    <xf numFmtId="0" fontId="22" fillId="5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0" fontId="23" fillId="4" borderId="0" xfId="0" applyFont="1" applyFill="1" applyAlignment="1">
      <alignment horizontal="left"/>
    </xf>
    <xf numFmtId="0" fontId="23" fillId="4" borderId="0" xfId="0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0" fontId="23" fillId="4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/>
    </xf>
    <xf numFmtId="0" fontId="23" fillId="4" borderId="2" xfId="0" applyFont="1" applyFill="1" applyBorder="1" applyAlignment="1">
      <alignment horizontal="left"/>
    </xf>
    <xf numFmtId="0" fontId="23" fillId="4" borderId="2" xfId="0" applyFont="1" applyFill="1" applyBorder="1" applyAlignment="1">
      <alignment horizontal="center"/>
    </xf>
    <xf numFmtId="0" fontId="23" fillId="4" borderId="0" xfId="0" applyFont="1" applyFill="1" applyBorder="1" applyAlignment="1">
      <alignment horizontal="left"/>
    </xf>
    <xf numFmtId="0" fontId="23" fillId="4" borderId="0" xfId="0" applyFon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22" fontId="21" fillId="9" borderId="0" xfId="0" applyNumberFormat="1" applyFont="1" applyFill="1" applyAlignment="1">
      <alignment horizontal="center"/>
    </xf>
    <xf numFmtId="0" fontId="23" fillId="2" borderId="0" xfId="0" applyFont="1" applyFill="1"/>
    <xf numFmtId="0" fontId="24" fillId="8" borderId="0" xfId="0" applyFont="1" applyFill="1" applyAlignment="1">
      <alignment horizontal="center"/>
    </xf>
    <xf numFmtId="2" fontId="23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3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164" fontId="20" fillId="2" borderId="0" xfId="0" applyNumberFormat="1" applyFont="1" applyFill="1"/>
  </cellXfs>
  <cellStyles count="287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3815864"/>
        <c:axId val="-2104013352"/>
      </c:barChart>
      <c:catAx>
        <c:axId val="-2103815864"/>
        <c:scaling>
          <c:orientation val="minMax"/>
        </c:scaling>
        <c:delete val="0"/>
        <c:axPos val="b"/>
        <c:majorTickMark val="none"/>
        <c:minorTickMark val="none"/>
        <c:tickLblPos val="nextTo"/>
        <c:crossAx val="-2104013352"/>
        <c:crosses val="autoZero"/>
        <c:auto val="1"/>
        <c:lblAlgn val="ctr"/>
        <c:lblOffset val="100"/>
        <c:noMultiLvlLbl val="0"/>
      </c:catAx>
      <c:valAx>
        <c:axId val="-2104013352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0381586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970440"/>
        <c:axId val="-2091169048"/>
      </c:scatterChart>
      <c:valAx>
        <c:axId val="-2088970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2091169048"/>
        <c:crosses val="autoZero"/>
        <c:crossBetween val="midCat"/>
      </c:valAx>
      <c:valAx>
        <c:axId val="-2091169048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0889704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9437608"/>
        <c:axId val="2119890376"/>
      </c:lineChart>
      <c:catAx>
        <c:axId val="-2089437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19890376"/>
        <c:crosses val="autoZero"/>
        <c:auto val="1"/>
        <c:lblAlgn val="ctr"/>
        <c:lblOffset val="100"/>
        <c:noMultiLvlLbl val="0"/>
      </c:catAx>
      <c:valAx>
        <c:axId val="211989037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08943760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877176"/>
        <c:axId val="2119814712"/>
      </c:lineChart>
      <c:catAx>
        <c:axId val="2119877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19814712"/>
        <c:crosses val="autoZero"/>
        <c:auto val="1"/>
        <c:lblAlgn val="ctr"/>
        <c:lblOffset val="100"/>
        <c:noMultiLvlLbl val="0"/>
      </c:catAx>
      <c:valAx>
        <c:axId val="2119814712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1987717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647768"/>
        <c:axId val="-2101639912"/>
      </c:scatterChart>
      <c:valAx>
        <c:axId val="2119647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1639912"/>
        <c:crosses val="autoZero"/>
        <c:crossBetween val="midCat"/>
      </c:valAx>
      <c:valAx>
        <c:axId val="-2101639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964776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026392"/>
        <c:axId val="-2088917608"/>
      </c:lineChart>
      <c:catAx>
        <c:axId val="2120026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88917608"/>
        <c:crosses val="autoZero"/>
        <c:auto val="1"/>
        <c:lblAlgn val="ctr"/>
        <c:lblOffset val="100"/>
        <c:noMultiLvlLbl val="0"/>
      </c:catAx>
      <c:valAx>
        <c:axId val="-208891760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0026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025320"/>
        <c:axId val="-2086530232"/>
      </c:scatterChart>
      <c:valAx>
        <c:axId val="2120025320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086530232"/>
        <c:crosses val="autoZero"/>
        <c:crossBetween val="midCat"/>
        <c:majorUnit val="1.0"/>
      </c:valAx>
      <c:valAx>
        <c:axId val="-208653023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200253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535000"/>
        <c:axId val="2126354728"/>
      </c:scatterChart>
      <c:valAx>
        <c:axId val="2130535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6354728"/>
        <c:crosses val="autoZero"/>
        <c:crossBetween val="midCat"/>
      </c:valAx>
      <c:valAx>
        <c:axId val="212635472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5350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651736"/>
        <c:axId val="2130654456"/>
      </c:scatterChart>
      <c:valAx>
        <c:axId val="2130651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0654456"/>
        <c:crosses val="autoZero"/>
        <c:crossBetween val="midCat"/>
      </c:valAx>
      <c:valAx>
        <c:axId val="213065445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065173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484152"/>
        <c:axId val="2125487096"/>
      </c:lineChart>
      <c:catAx>
        <c:axId val="2125484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5487096"/>
        <c:crosses val="autoZero"/>
        <c:auto val="1"/>
        <c:lblAlgn val="ctr"/>
        <c:lblOffset val="100"/>
        <c:noMultiLvlLbl val="0"/>
      </c:catAx>
      <c:valAx>
        <c:axId val="212548709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484152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13688"/>
        <c:axId val="2125516776"/>
      </c:scatterChart>
      <c:valAx>
        <c:axId val="2125513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5516776"/>
        <c:crosses val="autoZero"/>
        <c:crossBetween val="midCat"/>
      </c:valAx>
      <c:valAx>
        <c:axId val="212551677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551368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3840856"/>
        <c:axId val="-2079445224"/>
      </c:barChart>
      <c:catAx>
        <c:axId val="-21038408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79445224"/>
        <c:crosses val="autoZero"/>
        <c:auto val="1"/>
        <c:lblAlgn val="ctr"/>
        <c:lblOffset val="100"/>
        <c:noMultiLvlLbl val="0"/>
      </c:catAx>
      <c:valAx>
        <c:axId val="-207944522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10384085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C27" sqref="C27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55">
        <v>42333.59716435185</v>
      </c>
    </row>
    <row r="9" spans="1:16" ht="18">
      <c r="C9" s="56" t="s">
        <v>7</v>
      </c>
      <c r="D9" s="57"/>
      <c r="E9" s="58"/>
      <c r="F9" s="56" t="s">
        <v>301</v>
      </c>
      <c r="G9" s="57"/>
      <c r="I9" s="56" t="s">
        <v>17</v>
      </c>
      <c r="J9" s="57"/>
      <c r="L9" s="59" t="s">
        <v>310</v>
      </c>
      <c r="M9" s="60" t="s">
        <v>311</v>
      </c>
      <c r="N9" s="60" t="s">
        <v>312</v>
      </c>
      <c r="O9" s="60" t="s">
        <v>313</v>
      </c>
      <c r="P9" s="60" t="s">
        <v>314</v>
      </c>
    </row>
    <row r="10" spans="1:16">
      <c r="C10" s="61" t="s">
        <v>0</v>
      </c>
      <c r="D10" s="62">
        <v>50</v>
      </c>
      <c r="E10" s="58">
        <v>50</v>
      </c>
      <c r="F10" s="61" t="s">
        <v>351</v>
      </c>
      <c r="G10" s="62">
        <v>1000</v>
      </c>
      <c r="I10" s="61" t="s">
        <v>8</v>
      </c>
      <c r="J10" s="63">
        <v>0.03</v>
      </c>
      <c r="L10" s="62" t="s">
        <v>255</v>
      </c>
      <c r="M10" s="63">
        <v>1E-3</v>
      </c>
      <c r="N10" s="63">
        <v>0.01</v>
      </c>
      <c r="O10" s="63">
        <v>0.02</v>
      </c>
      <c r="P10" s="63">
        <v>0.03</v>
      </c>
    </row>
    <row r="11" spans="1:16">
      <c r="C11" s="61" t="s">
        <v>1</v>
      </c>
      <c r="D11" s="62">
        <v>30</v>
      </c>
      <c r="E11" s="58"/>
      <c r="F11" s="61" t="s">
        <v>352</v>
      </c>
      <c r="G11" s="62">
        <v>0.5</v>
      </c>
      <c r="I11" s="61" t="s">
        <v>9</v>
      </c>
      <c r="J11" s="62">
        <v>0.05</v>
      </c>
      <c r="L11" s="62" t="s">
        <v>262</v>
      </c>
      <c r="M11" s="63">
        <v>0.1</v>
      </c>
      <c r="N11" s="63">
        <v>0.15</v>
      </c>
      <c r="O11" s="63">
        <v>0.5</v>
      </c>
      <c r="P11" s="63">
        <v>0.5</v>
      </c>
    </row>
    <row r="12" spans="1:16">
      <c r="C12" s="64" t="s">
        <v>2</v>
      </c>
      <c r="D12" s="65">
        <v>50</v>
      </c>
      <c r="E12" s="58">
        <v>50</v>
      </c>
      <c r="F12" s="61" t="s">
        <v>353</v>
      </c>
      <c r="G12" s="62">
        <v>0.01</v>
      </c>
      <c r="I12" s="61" t="s">
        <v>10</v>
      </c>
      <c r="J12" s="62">
        <v>0.01</v>
      </c>
    </row>
    <row r="13" spans="1:16">
      <c r="C13" s="66" t="s">
        <v>3</v>
      </c>
      <c r="D13" s="67">
        <v>30</v>
      </c>
      <c r="E13" s="58"/>
      <c r="F13" s="64" t="s">
        <v>58</v>
      </c>
      <c r="G13" s="65">
        <v>5</v>
      </c>
      <c r="I13" s="64" t="s">
        <v>11</v>
      </c>
      <c r="J13" s="65">
        <v>2.5</v>
      </c>
    </row>
    <row r="14" spans="1:16">
      <c r="C14" s="61" t="s">
        <v>4</v>
      </c>
      <c r="D14" s="62">
        <v>6</v>
      </c>
      <c r="E14" s="58"/>
      <c r="F14" s="68" t="s">
        <v>59</v>
      </c>
      <c r="G14" s="69">
        <v>12</v>
      </c>
      <c r="I14" s="68" t="s">
        <v>12</v>
      </c>
      <c r="J14" s="69">
        <v>0.01</v>
      </c>
    </row>
    <row r="15" spans="1:16">
      <c r="C15" s="61" t="s">
        <v>5</v>
      </c>
      <c r="D15" s="62">
        <v>3</v>
      </c>
      <c r="E15" s="58"/>
      <c r="F15" s="68" t="s">
        <v>60</v>
      </c>
      <c r="G15" s="69">
        <v>60</v>
      </c>
      <c r="I15" s="68" t="s">
        <v>13</v>
      </c>
      <c r="J15" s="69">
        <v>12.98</v>
      </c>
    </row>
    <row r="16" spans="1:16">
      <c r="C16" s="61" t="s">
        <v>6</v>
      </c>
      <c r="D16" s="62">
        <v>0</v>
      </c>
      <c r="E16" s="58"/>
      <c r="F16" s="68" t="s">
        <v>61</v>
      </c>
      <c r="G16" s="69">
        <v>15</v>
      </c>
      <c r="I16" s="66" t="s">
        <v>14</v>
      </c>
      <c r="J16" s="67">
        <v>0.05</v>
      </c>
    </row>
    <row r="17" spans="3:16">
      <c r="C17" s="57"/>
      <c r="D17" s="57"/>
      <c r="E17" s="58"/>
      <c r="F17" s="66" t="s">
        <v>62</v>
      </c>
      <c r="G17" s="67">
        <v>45</v>
      </c>
      <c r="I17" s="61" t="s">
        <v>15</v>
      </c>
      <c r="J17" s="62">
        <v>40</v>
      </c>
    </row>
    <row r="18" spans="3:16">
      <c r="E18" s="58"/>
      <c r="F18" s="61" t="s">
        <v>63</v>
      </c>
      <c r="G18" s="62">
        <v>0.2</v>
      </c>
      <c r="I18" s="61" t="s">
        <v>16</v>
      </c>
      <c r="J18" s="62">
        <v>0.01</v>
      </c>
    </row>
    <row r="19" spans="3:16">
      <c r="F19" s="61" t="s">
        <v>64</v>
      </c>
      <c r="G19" s="62">
        <v>0.09</v>
      </c>
      <c r="I19" s="57"/>
      <c r="J19" s="57"/>
    </row>
    <row r="20" spans="3:16">
      <c r="F20" s="61" t="s">
        <v>65</v>
      </c>
      <c r="G20" s="62">
        <v>0.05</v>
      </c>
    </row>
    <row r="21" spans="3:16">
      <c r="F21" s="61" t="s">
        <v>66</v>
      </c>
      <c r="G21" s="62">
        <v>0.15</v>
      </c>
    </row>
    <row r="22" spans="3:16">
      <c r="F22" s="61" t="s">
        <v>67</v>
      </c>
      <c r="G22" s="62">
        <v>2</v>
      </c>
    </row>
    <row r="23" spans="3:16">
      <c r="F23" s="61" t="s">
        <v>68</v>
      </c>
      <c r="G23" s="62">
        <v>80</v>
      </c>
    </row>
    <row r="24" spans="3:16">
      <c r="F24" s="61" t="s">
        <v>69</v>
      </c>
      <c r="G24" s="62">
        <v>1E-4</v>
      </c>
    </row>
    <row r="25" spans="3:16">
      <c r="F25" s="57"/>
      <c r="G25" s="57"/>
    </row>
    <row r="30" spans="3:16">
      <c r="L30" s="54" t="s">
        <v>310</v>
      </c>
      <c r="M30" s="70" t="s">
        <v>311</v>
      </c>
      <c r="N30" s="70" t="s">
        <v>312</v>
      </c>
      <c r="O30" s="70" t="s">
        <v>313</v>
      </c>
      <c r="P30" s="70" t="s">
        <v>314</v>
      </c>
    </row>
    <row r="31" spans="3:16">
      <c r="L31" s="54" t="s">
        <v>255</v>
      </c>
      <c r="M31" s="70">
        <v>1E-3</v>
      </c>
      <c r="N31" s="70">
        <v>0.01</v>
      </c>
      <c r="O31" s="70">
        <v>0.02</v>
      </c>
      <c r="P31" s="70">
        <v>0.05</v>
      </c>
    </row>
    <row r="32" spans="3:16">
      <c r="L32" s="54" t="s">
        <v>262</v>
      </c>
      <c r="M32" s="70">
        <v>0</v>
      </c>
      <c r="N32" s="70">
        <v>0</v>
      </c>
      <c r="O32" s="70">
        <v>0.01</v>
      </c>
      <c r="P32" s="70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C27" sqref="C27"/>
      <selection pane="bottomLeft" activeCell="C27" sqref="C27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71">
        <v>42185.988530092596</v>
      </c>
      <c r="N3" s="72" t="s">
        <v>316</v>
      </c>
    </row>
    <row r="4" spans="1:16">
      <c r="N4" s="72" t="s">
        <v>317</v>
      </c>
    </row>
    <row r="5" spans="1:16" ht="18">
      <c r="B5" s="56" t="s">
        <v>266</v>
      </c>
      <c r="C5" s="57"/>
      <c r="E5" s="56" t="s">
        <v>265</v>
      </c>
      <c r="F5" s="57"/>
      <c r="H5" s="56" t="s">
        <v>289</v>
      </c>
      <c r="I5" s="57"/>
      <c r="K5" s="56" t="s">
        <v>332</v>
      </c>
      <c r="L5" s="57"/>
      <c r="N5" s="59" t="s">
        <v>315</v>
      </c>
      <c r="O5" s="59"/>
      <c r="P5" s="57"/>
    </row>
    <row r="6" spans="1:16">
      <c r="B6" s="62" t="s">
        <v>104</v>
      </c>
      <c r="C6" s="62">
        <v>0</v>
      </c>
      <c r="E6" s="61" t="s">
        <v>255</v>
      </c>
      <c r="F6" s="62">
        <v>999</v>
      </c>
      <c r="H6" s="61" t="s">
        <v>267</v>
      </c>
      <c r="I6" s="62">
        <v>0.98</v>
      </c>
      <c r="K6" s="61" t="s">
        <v>342</v>
      </c>
      <c r="L6" s="62">
        <v>0.999</v>
      </c>
      <c r="N6" s="73"/>
      <c r="O6" s="73" t="s">
        <v>255</v>
      </c>
      <c r="P6" s="73" t="s">
        <v>262</v>
      </c>
    </row>
    <row r="7" spans="1:16">
      <c r="B7" s="62" t="s">
        <v>105</v>
      </c>
      <c r="C7" s="62">
        <v>0</v>
      </c>
      <c r="E7" s="61" t="s">
        <v>256</v>
      </c>
      <c r="F7" s="62">
        <v>0.7</v>
      </c>
      <c r="H7" s="61" t="s">
        <v>268</v>
      </c>
      <c r="I7" s="62">
        <v>0.1</v>
      </c>
      <c r="K7" s="61" t="s">
        <v>333</v>
      </c>
      <c r="L7" s="74">
        <v>0.2</v>
      </c>
      <c r="N7" s="73" t="s">
        <v>255</v>
      </c>
      <c r="O7" s="75">
        <v>1</v>
      </c>
      <c r="P7" s="75">
        <v>2.5</v>
      </c>
    </row>
    <row r="8" spans="1:16">
      <c r="B8" s="62" t="s">
        <v>106</v>
      </c>
      <c r="C8" s="62">
        <v>0</v>
      </c>
      <c r="E8" s="61" t="s">
        <v>257</v>
      </c>
      <c r="F8" s="62">
        <v>0.5</v>
      </c>
      <c r="H8" s="61" t="s">
        <v>269</v>
      </c>
      <c r="I8" s="62">
        <v>0.7</v>
      </c>
      <c r="K8" s="61" t="s">
        <v>334</v>
      </c>
      <c r="L8" s="62">
        <v>0.999</v>
      </c>
      <c r="N8" s="73" t="s">
        <v>262</v>
      </c>
      <c r="O8" s="75">
        <v>1</v>
      </c>
      <c r="P8" s="75">
        <v>1</v>
      </c>
    </row>
    <row r="9" spans="1:16">
      <c r="B9" s="62" t="s">
        <v>107</v>
      </c>
      <c r="C9" s="62">
        <v>0</v>
      </c>
      <c r="E9" s="61" t="s">
        <v>258</v>
      </c>
      <c r="F9" s="62">
        <v>0.7</v>
      </c>
      <c r="H9" s="61"/>
      <c r="I9" s="62"/>
      <c r="K9" s="61" t="s">
        <v>335</v>
      </c>
      <c r="L9" s="62">
        <v>0.999</v>
      </c>
    </row>
    <row r="10" spans="1:16">
      <c r="B10" s="62" t="s">
        <v>108</v>
      </c>
      <c r="C10" s="62">
        <v>1</v>
      </c>
      <c r="E10" s="61" t="s">
        <v>259</v>
      </c>
      <c r="F10" s="62">
        <v>0.5</v>
      </c>
      <c r="H10" s="61" t="s">
        <v>270</v>
      </c>
      <c r="I10" s="62">
        <v>0.01</v>
      </c>
      <c r="K10" s="61" t="s">
        <v>336</v>
      </c>
      <c r="L10" s="62">
        <v>0.999</v>
      </c>
    </row>
    <row r="11" spans="1:16">
      <c r="B11" s="62" t="s">
        <v>109</v>
      </c>
      <c r="C11" s="62">
        <v>0</v>
      </c>
      <c r="E11" s="61" t="s">
        <v>260</v>
      </c>
      <c r="F11" s="62">
        <v>0.5</v>
      </c>
      <c r="H11" s="61" t="s">
        <v>271</v>
      </c>
      <c r="I11" s="62">
        <v>1E-4</v>
      </c>
      <c r="K11" s="61" t="s">
        <v>337</v>
      </c>
      <c r="L11" s="62">
        <v>0.05</v>
      </c>
    </row>
    <row r="12" spans="1:16">
      <c r="B12" s="62" t="s">
        <v>110</v>
      </c>
      <c r="C12" s="62">
        <v>0</v>
      </c>
      <c r="E12" s="61" t="s">
        <v>261</v>
      </c>
      <c r="F12" s="62">
        <v>0.7</v>
      </c>
      <c r="H12" s="61" t="s">
        <v>272</v>
      </c>
      <c r="I12" s="62">
        <v>0.01</v>
      </c>
      <c r="K12" s="61" t="s">
        <v>338</v>
      </c>
      <c r="L12" s="62">
        <v>0.999</v>
      </c>
    </row>
    <row r="13" spans="1:16">
      <c r="B13" s="62" t="s">
        <v>111</v>
      </c>
      <c r="C13" s="62">
        <v>0</v>
      </c>
      <c r="E13" s="61" t="s">
        <v>262</v>
      </c>
      <c r="F13" s="62">
        <v>0.5</v>
      </c>
      <c r="H13" s="61" t="s">
        <v>273</v>
      </c>
      <c r="I13" s="62">
        <v>0.05</v>
      </c>
      <c r="K13" s="61" t="s">
        <v>339</v>
      </c>
      <c r="L13" s="62">
        <v>0.999</v>
      </c>
    </row>
    <row r="14" spans="1:16">
      <c r="B14" s="62" t="s">
        <v>112</v>
      </c>
      <c r="C14" s="62">
        <v>1</v>
      </c>
      <c r="E14" s="61" t="s">
        <v>263</v>
      </c>
      <c r="F14" s="62">
        <v>0.5</v>
      </c>
      <c r="H14" s="61" t="s">
        <v>274</v>
      </c>
      <c r="I14" s="62">
        <v>0.01</v>
      </c>
      <c r="K14" s="61" t="s">
        <v>340</v>
      </c>
      <c r="L14" s="62">
        <v>0.999</v>
      </c>
    </row>
    <row r="15" spans="1:16">
      <c r="B15" s="62" t="s">
        <v>113</v>
      </c>
      <c r="C15" s="62">
        <v>0</v>
      </c>
      <c r="E15" s="61" t="s">
        <v>264</v>
      </c>
      <c r="F15" s="62">
        <v>1E-4</v>
      </c>
      <c r="H15" s="61" t="s">
        <v>275</v>
      </c>
      <c r="I15" s="62">
        <v>0.01</v>
      </c>
      <c r="K15" s="61" t="s">
        <v>341</v>
      </c>
      <c r="L15" s="62">
        <v>0.999</v>
      </c>
    </row>
    <row r="16" spans="1:16">
      <c r="B16" s="76"/>
      <c r="C16" s="77"/>
      <c r="E16" s="57"/>
      <c r="F16" s="57"/>
      <c r="H16" s="61" t="s">
        <v>276</v>
      </c>
      <c r="I16" s="62">
        <v>0.01</v>
      </c>
      <c r="K16" s="61"/>
      <c r="L16" s="62"/>
    </row>
    <row r="17" spans="2:12">
      <c r="B17" s="61" t="s">
        <v>114</v>
      </c>
      <c r="C17" s="62">
        <v>6</v>
      </c>
      <c r="H17" s="61" t="s">
        <v>277</v>
      </c>
      <c r="I17" s="62">
        <v>0.01</v>
      </c>
      <c r="K17" s="61"/>
      <c r="L17" s="62"/>
    </row>
    <row r="18" spans="2:12">
      <c r="B18" s="61" t="s">
        <v>115</v>
      </c>
      <c r="C18" s="62">
        <v>2</v>
      </c>
      <c r="H18" s="61" t="s">
        <v>278</v>
      </c>
      <c r="I18" s="62">
        <v>0.01</v>
      </c>
      <c r="K18" s="61"/>
      <c r="L18" s="62"/>
    </row>
    <row r="19" spans="2:12">
      <c r="B19" s="61" t="s">
        <v>116</v>
      </c>
      <c r="C19" s="62">
        <v>2</v>
      </c>
      <c r="H19" s="61" t="s">
        <v>279</v>
      </c>
      <c r="I19" s="62">
        <v>0.01</v>
      </c>
      <c r="K19" s="61"/>
      <c r="L19" s="62"/>
    </row>
    <row r="20" spans="2:12">
      <c r="B20" s="61" t="s">
        <v>117</v>
      </c>
      <c r="C20" s="62">
        <v>0.01</v>
      </c>
      <c r="H20" s="61"/>
      <c r="I20" s="62"/>
      <c r="K20" s="61"/>
      <c r="L20" s="62"/>
    </row>
    <row r="21" spans="2:12">
      <c r="B21" s="61" t="s">
        <v>118</v>
      </c>
      <c r="C21" s="62">
        <v>6</v>
      </c>
      <c r="H21" s="61" t="s">
        <v>280</v>
      </c>
      <c r="I21" s="62">
        <v>0.25</v>
      </c>
      <c r="K21" s="61"/>
      <c r="L21" s="62"/>
    </row>
    <row r="22" spans="2:12">
      <c r="B22" s="61" t="s">
        <v>119</v>
      </c>
      <c r="C22" s="62">
        <v>0.4</v>
      </c>
      <c r="H22" s="61" t="s">
        <v>281</v>
      </c>
      <c r="I22" s="62">
        <v>3.0000000000000001E-3</v>
      </c>
      <c r="K22" s="61"/>
      <c r="L22" s="62"/>
    </row>
    <row r="23" spans="2:12">
      <c r="B23" s="61" t="s">
        <v>120</v>
      </c>
      <c r="C23" s="62">
        <v>1</v>
      </c>
      <c r="H23" s="61" t="s">
        <v>282</v>
      </c>
      <c r="I23" s="62">
        <v>0.01</v>
      </c>
      <c r="K23" s="61"/>
      <c r="L23" s="62"/>
    </row>
    <row r="24" spans="2:12">
      <c r="B24" s="61" t="s">
        <v>121</v>
      </c>
      <c r="C24" s="62">
        <v>0.06</v>
      </c>
      <c r="H24" s="61" t="s">
        <v>283</v>
      </c>
      <c r="I24" s="62">
        <v>0.05</v>
      </c>
      <c r="K24" s="61"/>
      <c r="L24" s="62"/>
    </row>
    <row r="25" spans="2:12">
      <c r="B25" s="61" t="s">
        <v>122</v>
      </c>
      <c r="C25" s="62">
        <v>0.1</v>
      </c>
      <c r="H25" s="61" t="s">
        <v>284</v>
      </c>
      <c r="I25" s="62">
        <v>0.01</v>
      </c>
      <c r="K25" s="61"/>
      <c r="L25" s="62"/>
    </row>
    <row r="26" spans="2:12">
      <c r="B26" s="61" t="s">
        <v>123</v>
      </c>
      <c r="C26" s="62">
        <v>999.99</v>
      </c>
      <c r="H26" s="61" t="s">
        <v>285</v>
      </c>
      <c r="I26" s="62">
        <v>0.01</v>
      </c>
      <c r="K26" s="61"/>
      <c r="L26" s="62"/>
    </row>
    <row r="27" spans="2:12">
      <c r="B27" s="61" t="s">
        <v>124</v>
      </c>
      <c r="C27" s="62">
        <v>0</v>
      </c>
      <c r="H27" s="61" t="s">
        <v>286</v>
      </c>
      <c r="I27" s="62">
        <v>0.01</v>
      </c>
      <c r="K27" s="61"/>
      <c r="L27" s="62"/>
    </row>
    <row r="28" spans="2:12">
      <c r="B28" s="61" t="s">
        <v>125</v>
      </c>
      <c r="C28" s="62">
        <v>0</v>
      </c>
      <c r="H28" s="61" t="s">
        <v>287</v>
      </c>
      <c r="I28" s="62">
        <v>0.01</v>
      </c>
      <c r="K28" s="61"/>
      <c r="L28" s="62"/>
    </row>
    <row r="29" spans="2:12">
      <c r="B29" s="61" t="s">
        <v>126</v>
      </c>
      <c r="C29" s="62">
        <v>0.5</v>
      </c>
      <c r="H29" s="61" t="s">
        <v>288</v>
      </c>
      <c r="I29" s="62">
        <v>0.01</v>
      </c>
      <c r="K29" s="61"/>
      <c r="L29" s="62"/>
    </row>
    <row r="30" spans="2:12">
      <c r="B30" s="76"/>
      <c r="C30" s="77"/>
      <c r="H30" s="57"/>
      <c r="I30" s="57"/>
      <c r="K30" s="57"/>
      <c r="L30" s="57"/>
    </row>
    <row r="31" spans="2:12">
      <c r="B31" s="61" t="s">
        <v>127</v>
      </c>
      <c r="C31" s="62">
        <v>0.1</v>
      </c>
    </row>
    <row r="32" spans="2:12">
      <c r="B32" s="61" t="s">
        <v>128</v>
      </c>
      <c r="C32" s="62">
        <v>0.9</v>
      </c>
    </row>
    <row r="33" spans="2:3">
      <c r="B33" s="61" t="s">
        <v>129</v>
      </c>
      <c r="C33" s="62">
        <v>999.99</v>
      </c>
    </row>
    <row r="34" spans="2:3">
      <c r="B34" s="61" t="s">
        <v>130</v>
      </c>
      <c r="C34" s="62">
        <v>0.2</v>
      </c>
    </row>
    <row r="35" spans="2:3">
      <c r="B35" s="61" t="s">
        <v>131</v>
      </c>
      <c r="C35" s="62">
        <v>0.2</v>
      </c>
    </row>
    <row r="36" spans="2:3">
      <c r="B36" s="61" t="s">
        <v>132</v>
      </c>
      <c r="C36" s="62">
        <v>1</v>
      </c>
    </row>
    <row r="37" spans="2:3">
      <c r="B37" s="61" t="s">
        <v>133</v>
      </c>
      <c r="C37" s="62">
        <v>1</v>
      </c>
    </row>
    <row r="38" spans="2:3">
      <c r="B38" s="61" t="s">
        <v>134</v>
      </c>
      <c r="C38" s="62">
        <v>0.2</v>
      </c>
    </row>
    <row r="39" spans="2:3">
      <c r="B39" s="61" t="s">
        <v>135</v>
      </c>
      <c r="C39" s="62">
        <v>12</v>
      </c>
    </row>
    <row r="40" spans="2:3">
      <c r="B40" s="61" t="s">
        <v>136</v>
      </c>
      <c r="C40" s="62">
        <v>0.08</v>
      </c>
    </row>
    <row r="41" spans="2:3">
      <c r="B41" s="61" t="s">
        <v>137</v>
      </c>
      <c r="C41" s="62">
        <v>0.1</v>
      </c>
    </row>
    <row r="42" spans="2:3">
      <c r="B42" s="61" t="s">
        <v>138</v>
      </c>
      <c r="C42" s="62">
        <v>0.8</v>
      </c>
    </row>
    <row r="43" spans="2:3">
      <c r="B43" s="76"/>
      <c r="C43" s="77"/>
    </row>
    <row r="44" spans="2:3">
      <c r="B44" s="61" t="s">
        <v>139</v>
      </c>
      <c r="C44" s="62">
        <v>0.1</v>
      </c>
    </row>
    <row r="45" spans="2:3">
      <c r="B45" s="61" t="s">
        <v>140</v>
      </c>
      <c r="C45" s="62">
        <v>0.9</v>
      </c>
    </row>
    <row r="46" spans="2:3">
      <c r="B46" s="61" t="s">
        <v>141</v>
      </c>
      <c r="C46" s="62">
        <v>1.5</v>
      </c>
    </row>
    <row r="47" spans="2:3">
      <c r="B47" s="61" t="s">
        <v>142</v>
      </c>
      <c r="C47" s="62">
        <v>0.05</v>
      </c>
    </row>
    <row r="48" spans="2:3">
      <c r="B48" s="61" t="s">
        <v>143</v>
      </c>
      <c r="C48" s="62">
        <v>0.05</v>
      </c>
    </row>
    <row r="49" spans="2:3">
      <c r="B49" s="61" t="s">
        <v>144</v>
      </c>
      <c r="C49" s="62">
        <v>16</v>
      </c>
    </row>
    <row r="50" spans="2:3">
      <c r="B50" s="61" t="s">
        <v>145</v>
      </c>
      <c r="C50" s="62">
        <v>32</v>
      </c>
    </row>
    <row r="51" spans="2:3">
      <c r="B51" s="61" t="s">
        <v>146</v>
      </c>
      <c r="C51" s="62">
        <v>0.2</v>
      </c>
    </row>
    <row r="52" spans="2:3">
      <c r="B52" s="61" t="s">
        <v>147</v>
      </c>
      <c r="C52" s="62">
        <v>0.1</v>
      </c>
    </row>
    <row r="53" spans="2:3">
      <c r="B53" s="61" t="s">
        <v>148</v>
      </c>
      <c r="C53" s="62">
        <v>0.7</v>
      </c>
    </row>
    <row r="54" spans="2:3">
      <c r="B54" s="76"/>
      <c r="C54" s="77"/>
    </row>
    <row r="55" spans="2:3">
      <c r="B55" s="61" t="s">
        <v>149</v>
      </c>
      <c r="C55" s="62">
        <v>0.2</v>
      </c>
    </row>
    <row r="56" spans="2:3">
      <c r="B56" s="61" t="s">
        <v>150</v>
      </c>
      <c r="C56" s="62">
        <v>0.9</v>
      </c>
    </row>
    <row r="57" spans="2:3">
      <c r="B57" s="61" t="s">
        <v>151</v>
      </c>
      <c r="C57" s="62">
        <v>1</v>
      </c>
    </row>
    <row r="58" spans="2:3">
      <c r="B58" s="61" t="s">
        <v>152</v>
      </c>
      <c r="C58" s="62">
        <v>0.2</v>
      </c>
    </row>
    <row r="59" spans="2:3">
      <c r="B59" s="61" t="s">
        <v>153</v>
      </c>
      <c r="C59" s="62">
        <v>0.2</v>
      </c>
    </row>
    <row r="60" spans="2:3">
      <c r="B60" s="61" t="s">
        <v>154</v>
      </c>
      <c r="C60" s="62">
        <v>3</v>
      </c>
    </row>
    <row r="61" spans="2:3">
      <c r="B61" s="61" t="s">
        <v>155</v>
      </c>
      <c r="C61" s="62">
        <v>39</v>
      </c>
    </row>
    <row r="62" spans="2:3">
      <c r="B62" s="61" t="s">
        <v>156</v>
      </c>
      <c r="C62" s="62">
        <v>4</v>
      </c>
    </row>
    <row r="63" spans="2:3">
      <c r="B63" s="61" t="s">
        <v>157</v>
      </c>
      <c r="C63" s="62">
        <v>1.5</v>
      </c>
    </row>
    <row r="64" spans="2:3">
      <c r="B64" s="61" t="s">
        <v>158</v>
      </c>
      <c r="C64" s="62">
        <v>4</v>
      </c>
    </row>
    <row r="65" spans="2:3">
      <c r="B65" s="61" t="s">
        <v>159</v>
      </c>
      <c r="C65" s="62">
        <v>1.1000000000000001</v>
      </c>
    </row>
    <row r="66" spans="2:3">
      <c r="B66" s="61" t="s">
        <v>160</v>
      </c>
      <c r="C66" s="62">
        <v>1.8</v>
      </c>
    </row>
    <row r="67" spans="2:3">
      <c r="B67" s="61" t="s">
        <v>161</v>
      </c>
      <c r="C67" s="62">
        <v>0</v>
      </c>
    </row>
    <row r="68" spans="2:3">
      <c r="B68" s="61" t="s">
        <v>162</v>
      </c>
      <c r="C68" s="62">
        <v>1</v>
      </c>
    </row>
    <row r="69" spans="2:3">
      <c r="B69" s="76"/>
      <c r="C69" s="77"/>
    </row>
    <row r="70" spans="2:3">
      <c r="B70" s="61" t="s">
        <v>163</v>
      </c>
      <c r="C70" s="62">
        <v>0.49</v>
      </c>
    </row>
    <row r="71" spans="2:3">
      <c r="B71" s="61" t="s">
        <v>164</v>
      </c>
      <c r="C71" s="62">
        <v>0.9</v>
      </c>
    </row>
    <row r="72" spans="2:3">
      <c r="B72" s="61" t="s">
        <v>165</v>
      </c>
      <c r="C72" s="62">
        <v>1</v>
      </c>
    </row>
    <row r="73" spans="2:3">
      <c r="B73" s="61" t="s">
        <v>166</v>
      </c>
      <c r="C73" s="62">
        <v>0.3</v>
      </c>
    </row>
    <row r="74" spans="2:3">
      <c r="B74" s="61" t="s">
        <v>167</v>
      </c>
      <c r="C74" s="62">
        <v>0.7</v>
      </c>
    </row>
    <row r="75" spans="2:3">
      <c r="B75" s="61" t="s">
        <v>168</v>
      </c>
      <c r="C75" s="62">
        <v>2</v>
      </c>
    </row>
    <row r="76" spans="2:3">
      <c r="B76" s="61" t="s">
        <v>169</v>
      </c>
      <c r="C76" s="62">
        <v>20</v>
      </c>
    </row>
    <row r="77" spans="2:3">
      <c r="B77" s="61" t="s">
        <v>170</v>
      </c>
      <c r="C77" s="62">
        <v>0</v>
      </c>
    </row>
    <row r="78" spans="2:3">
      <c r="B78" s="61" t="s">
        <v>171</v>
      </c>
      <c r="C78" s="62">
        <v>1.5</v>
      </c>
    </row>
    <row r="79" spans="2:3">
      <c r="B79" s="61" t="s">
        <v>172</v>
      </c>
      <c r="C79" s="62">
        <v>4</v>
      </c>
    </row>
    <row r="80" spans="2:3">
      <c r="B80" s="61" t="s">
        <v>173</v>
      </c>
      <c r="C80" s="62">
        <v>1</v>
      </c>
    </row>
    <row r="81" spans="2:35">
      <c r="B81" s="76"/>
      <c r="C81" s="77"/>
    </row>
    <row r="82" spans="2:35">
      <c r="B82" s="61" t="s">
        <v>174</v>
      </c>
      <c r="C82" s="74">
        <v>0.4</v>
      </c>
      <c r="D82" s="70">
        <v>0.85</v>
      </c>
    </row>
    <row r="83" spans="2:35">
      <c r="B83" s="61" t="s">
        <v>175</v>
      </c>
      <c r="C83" s="62">
        <v>0.9</v>
      </c>
      <c r="D83" s="70">
        <v>0.9</v>
      </c>
      <c r="AE83" s="54" t="s">
        <v>321</v>
      </c>
      <c r="AF83" s="54" t="s">
        <v>318</v>
      </c>
      <c r="AG83" s="54" t="s">
        <v>319</v>
      </c>
      <c r="AH83" s="54" t="s">
        <v>320</v>
      </c>
      <c r="AI83" s="54" t="s">
        <v>322</v>
      </c>
    </row>
    <row r="84" spans="2:35">
      <c r="B84" s="61" t="s">
        <v>176</v>
      </c>
      <c r="C84" s="62">
        <v>1</v>
      </c>
      <c r="D84" s="70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177</v>
      </c>
      <c r="C85" s="62">
        <v>0.15</v>
      </c>
      <c r="D85" s="70">
        <v>0.15</v>
      </c>
      <c r="AD85" s="7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178</v>
      </c>
      <c r="C86" s="62">
        <v>0.15</v>
      </c>
      <c r="D86" s="70">
        <v>0.15</v>
      </c>
      <c r="AD86" s="7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179</v>
      </c>
      <c r="C87" s="62">
        <v>0.85</v>
      </c>
      <c r="D87" s="70">
        <v>0.85</v>
      </c>
      <c r="AD87" s="7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180</v>
      </c>
      <c r="C88" s="62">
        <v>0.2</v>
      </c>
      <c r="D88" s="70">
        <v>0.2</v>
      </c>
      <c r="AD88" s="7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4" t="s">
        <v>181</v>
      </c>
      <c r="C89" s="65">
        <v>4</v>
      </c>
      <c r="D89" s="70">
        <v>4</v>
      </c>
      <c r="AD89" s="7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68" t="s">
        <v>182</v>
      </c>
      <c r="C90" s="69">
        <v>16</v>
      </c>
      <c r="D90" s="70">
        <v>16</v>
      </c>
      <c r="AD90" s="7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66" t="s">
        <v>183</v>
      </c>
      <c r="C91" s="67">
        <v>52</v>
      </c>
      <c r="D91" s="70">
        <v>52</v>
      </c>
      <c r="AD91" s="7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4" t="s">
        <v>184</v>
      </c>
      <c r="C92" s="65">
        <v>6</v>
      </c>
      <c r="D92" s="70">
        <v>5</v>
      </c>
      <c r="AD92" s="7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68" t="s">
        <v>185</v>
      </c>
      <c r="C93" s="69">
        <v>10</v>
      </c>
      <c r="D93" s="70">
        <v>10</v>
      </c>
      <c r="AD93" s="7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68" t="s">
        <v>186</v>
      </c>
      <c r="C94" s="69">
        <v>10</v>
      </c>
      <c r="D94" s="70">
        <v>10</v>
      </c>
      <c r="AD94" s="7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66" t="s">
        <v>187</v>
      </c>
      <c r="C95" s="67">
        <v>10</v>
      </c>
      <c r="D95" s="70">
        <v>10</v>
      </c>
      <c r="AD95" s="7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188</v>
      </c>
      <c r="C96" s="62">
        <v>0.05</v>
      </c>
      <c r="D96" s="70">
        <v>0.05</v>
      </c>
      <c r="AD96" s="7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4" t="s">
        <v>189</v>
      </c>
      <c r="C97" s="65">
        <v>0.7</v>
      </c>
      <c r="D97" s="70">
        <v>0.7</v>
      </c>
      <c r="AD97" s="7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68" t="s">
        <v>190</v>
      </c>
      <c r="C98" s="69">
        <v>0.7</v>
      </c>
      <c r="D98" s="70">
        <v>0.7</v>
      </c>
      <c r="AD98" s="7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66" t="s">
        <v>191</v>
      </c>
      <c r="C99" s="67">
        <v>0.5</v>
      </c>
      <c r="D99" s="70">
        <v>0.5</v>
      </c>
      <c r="AD99" s="7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192</v>
      </c>
      <c r="C100" s="62">
        <v>1.05</v>
      </c>
      <c r="D100" s="70">
        <v>1.5</v>
      </c>
      <c r="AD100" s="7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193</v>
      </c>
      <c r="C101" s="62">
        <v>2</v>
      </c>
      <c r="D101" s="70">
        <v>4</v>
      </c>
      <c r="AD101" s="7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194</v>
      </c>
      <c r="C102" s="62">
        <v>1.5</v>
      </c>
      <c r="D102" s="70">
        <v>1.5</v>
      </c>
      <c r="AD102" s="7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195</v>
      </c>
      <c r="C103" s="62">
        <v>4</v>
      </c>
      <c r="D103" s="70">
        <v>4</v>
      </c>
      <c r="AD103" s="7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196</v>
      </c>
      <c r="C104" s="62">
        <v>1.1000000000000001</v>
      </c>
      <c r="D104" s="70">
        <v>1.1000000000000001</v>
      </c>
      <c r="AD104" s="7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197</v>
      </c>
      <c r="C105" s="62">
        <v>1.8</v>
      </c>
      <c r="D105" s="70">
        <v>1.8</v>
      </c>
      <c r="AD105" s="7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198</v>
      </c>
      <c r="C106" s="62">
        <v>1.5</v>
      </c>
      <c r="D106" s="70">
        <v>1.5</v>
      </c>
      <c r="AD106" s="7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199</v>
      </c>
      <c r="C107" s="62">
        <v>4</v>
      </c>
      <c r="D107" s="70">
        <v>4</v>
      </c>
      <c r="AD107" s="7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200</v>
      </c>
      <c r="C108" s="62">
        <v>1</v>
      </c>
      <c r="D108" s="70">
        <v>1</v>
      </c>
      <c r="AD108" s="7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76"/>
      <c r="C109" s="77"/>
      <c r="AD109" s="7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201</v>
      </c>
      <c r="C110" s="62">
        <v>0.5</v>
      </c>
      <c r="AD110" s="7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202</v>
      </c>
      <c r="C111" s="62">
        <v>0.9</v>
      </c>
      <c r="AD111" s="7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203</v>
      </c>
      <c r="C112" s="62">
        <v>0.5</v>
      </c>
      <c r="AD112" s="7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204</v>
      </c>
      <c r="C113" s="62">
        <v>0.5</v>
      </c>
      <c r="AD113" s="7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205</v>
      </c>
      <c r="C114" s="62">
        <v>0.9</v>
      </c>
      <c r="AD114" s="7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206</v>
      </c>
      <c r="C115" s="62">
        <v>1</v>
      </c>
      <c r="AD115" s="7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207</v>
      </c>
      <c r="C116" s="62">
        <v>12</v>
      </c>
      <c r="AD116" s="7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208</v>
      </c>
      <c r="C117" s="62">
        <v>12</v>
      </c>
      <c r="AD117" s="7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209</v>
      </c>
      <c r="C118" s="62">
        <v>1.5</v>
      </c>
      <c r="AD118" s="7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210</v>
      </c>
      <c r="C119" s="62">
        <v>4</v>
      </c>
      <c r="AD119" s="7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211</v>
      </c>
      <c r="C120" s="62">
        <v>1.1000000000000001</v>
      </c>
      <c r="AD120" s="7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212</v>
      </c>
      <c r="C121" s="62">
        <v>1.4</v>
      </c>
      <c r="AD121" s="7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213</v>
      </c>
      <c r="C122" s="62">
        <v>0.1</v>
      </c>
      <c r="AD122" s="7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214</v>
      </c>
      <c r="C123" s="62">
        <v>0.6</v>
      </c>
      <c r="AD123" s="7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76"/>
      <c r="C124" s="77"/>
      <c r="AD124" s="7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215</v>
      </c>
      <c r="C125" s="62">
        <v>0.5</v>
      </c>
      <c r="AD125" s="7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216</v>
      </c>
      <c r="C126" s="62">
        <v>0.9</v>
      </c>
      <c r="AD126" s="7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217</v>
      </c>
      <c r="C127" s="62">
        <v>1</v>
      </c>
      <c r="AD127" s="7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218</v>
      </c>
      <c r="C128" s="62">
        <v>0.1</v>
      </c>
      <c r="AD128" s="7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219</v>
      </c>
      <c r="C129" s="62">
        <v>0.1</v>
      </c>
      <c r="AD129" s="7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220</v>
      </c>
      <c r="C130" s="62">
        <v>3</v>
      </c>
      <c r="AD130" s="7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221</v>
      </c>
      <c r="C131" s="62">
        <v>16</v>
      </c>
      <c r="AD131" s="7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222</v>
      </c>
      <c r="C132" s="62">
        <v>0.1</v>
      </c>
      <c r="AD132" s="7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223</v>
      </c>
      <c r="C133" s="62">
        <v>1</v>
      </c>
      <c r="AD133" s="7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76"/>
      <c r="C134" s="77"/>
      <c r="AD134" s="7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224</v>
      </c>
      <c r="C135" s="62">
        <v>3</v>
      </c>
      <c r="AD135" s="7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225</v>
      </c>
      <c r="C136" s="62">
        <v>-99</v>
      </c>
      <c r="AD136" s="7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226</v>
      </c>
      <c r="C137" s="62">
        <v>24</v>
      </c>
      <c r="AD137" s="7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227</v>
      </c>
      <c r="C138" s="62">
        <v>6</v>
      </c>
      <c r="AD138" s="7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228</v>
      </c>
      <c r="C139" s="62">
        <v>9</v>
      </c>
      <c r="AD139" s="7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229</v>
      </c>
      <c r="C140" s="62">
        <v>0.7</v>
      </c>
      <c r="AD140" s="7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230</v>
      </c>
      <c r="C141" s="62">
        <v>0.5</v>
      </c>
      <c r="AD141" s="7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231</v>
      </c>
      <c r="C142" s="62">
        <v>0.5</v>
      </c>
      <c r="AD142" s="7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232</v>
      </c>
      <c r="C143" s="62">
        <v>0.9</v>
      </c>
      <c r="AD143" s="7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233</v>
      </c>
      <c r="C144" s="62">
        <v>2</v>
      </c>
      <c r="AD144" s="7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234</v>
      </c>
      <c r="C145" s="62">
        <v>0.1</v>
      </c>
      <c r="AD145" s="7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235</v>
      </c>
      <c r="C146" s="62">
        <v>0.1</v>
      </c>
      <c r="AD146" s="7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236</v>
      </c>
      <c r="C147" s="62">
        <v>0.1</v>
      </c>
      <c r="AD147" s="7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237</v>
      </c>
      <c r="C148" s="62">
        <v>0.75</v>
      </c>
      <c r="AD148" s="7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238</v>
      </c>
      <c r="C149" s="62">
        <v>1.7</v>
      </c>
      <c r="AD149" s="7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239</v>
      </c>
      <c r="C150" s="62">
        <v>4</v>
      </c>
      <c r="AD150" s="7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240</v>
      </c>
      <c r="C151" s="62">
        <v>2</v>
      </c>
      <c r="AD151" s="7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241</v>
      </c>
      <c r="C152" s="62">
        <v>4</v>
      </c>
      <c r="AD152" s="7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242</v>
      </c>
      <c r="C153" s="62">
        <v>2</v>
      </c>
      <c r="AD153" s="7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243</v>
      </c>
      <c r="C154" s="62">
        <v>5</v>
      </c>
      <c r="AD154" s="7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244</v>
      </c>
      <c r="C155" s="62">
        <v>2</v>
      </c>
      <c r="AD155" s="7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245</v>
      </c>
      <c r="C156" s="62">
        <v>4</v>
      </c>
      <c r="AD156" s="7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76"/>
      <c r="C157" s="77"/>
      <c r="AD157" s="7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246</v>
      </c>
      <c r="C158" s="62">
        <v>3</v>
      </c>
      <c r="AD158" s="7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247</v>
      </c>
      <c r="C159" s="62">
        <v>16</v>
      </c>
      <c r="AD159" s="7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248</v>
      </c>
      <c r="C160" s="62">
        <v>0.5</v>
      </c>
      <c r="AD160" s="7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249</v>
      </c>
      <c r="C161" s="62">
        <v>0.9</v>
      </c>
      <c r="AD161" s="7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250</v>
      </c>
      <c r="C162" s="62">
        <v>1</v>
      </c>
      <c r="AD162" s="7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251</v>
      </c>
      <c r="C163" s="62">
        <v>0.1</v>
      </c>
      <c r="AD163" s="7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252</v>
      </c>
      <c r="C164" s="62">
        <v>0.1</v>
      </c>
      <c r="AD164" s="7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253</v>
      </c>
      <c r="C165" s="62">
        <v>0.1</v>
      </c>
      <c r="AD165" s="7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254</v>
      </c>
      <c r="C166" s="62">
        <v>1</v>
      </c>
      <c r="AD166" s="7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7"/>
      <c r="C167" s="57"/>
      <c r="AD167" s="7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7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7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7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7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7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7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7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7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7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7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7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7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7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7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7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7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7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7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7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7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7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7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7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7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7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7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7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7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7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7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7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7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7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7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7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7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7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7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7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7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7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7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7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7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7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7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7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7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7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7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7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7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7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7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7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7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7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7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7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7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7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7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7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7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7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7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7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7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7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7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7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7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7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7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7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7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7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7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7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7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7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7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7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7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7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7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7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7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7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7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7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7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7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7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7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7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7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7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7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7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7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7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7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7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7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7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7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7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7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7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7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7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7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7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7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7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7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7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7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7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7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7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7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7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7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7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7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7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7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tabSelected="1" showRuler="0" workbookViewId="0">
      <selection activeCell="F32" sqref="F3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42334.865949074076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2</v>
      </c>
      <c r="E11" s="24">
        <v>1.6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324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42334.866030092591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47">
        <v>0.5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47">
        <v>0.4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47">
        <v>0.1</v>
      </c>
      <c r="D8" s="1">
        <v>0.2</v>
      </c>
      <c r="F8" s="3" t="s">
        <v>98</v>
      </c>
      <c r="G8" s="46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0" t="s">
        <v>79</v>
      </c>
      <c r="C15" s="41">
        <v>20</v>
      </c>
      <c r="D15" s="1">
        <v>19</v>
      </c>
      <c r="H15" s="38"/>
      <c r="I15" s="45" t="s">
        <v>323</v>
      </c>
    </row>
    <row r="16" spans="1:9">
      <c r="B16" s="18" t="s">
        <v>80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83</v>
      </c>
      <c r="C19" s="17">
        <v>0.1</v>
      </c>
    </row>
    <row r="20" spans="2:28">
      <c r="B20" s="20" t="s">
        <v>84</v>
      </c>
      <c r="C20" s="21">
        <v>0.2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42" t="s">
        <v>85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0">
        <v>0.1</v>
      </c>
    </row>
    <row r="26" spans="2:28">
      <c r="B26" s="20" t="s">
        <v>90</v>
      </c>
      <c r="C26" s="33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showRuler="0" zoomScale="85" zoomScaleNormal="85" zoomScalePageLayoutView="85" workbookViewId="0">
      <pane ySplit="3" topLeftCell="A4" activePane="bottomLeft" state="frozen"/>
      <selection activeCell="C59" sqref="C59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2.42578125" style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42335.577106481483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6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6" t="s">
        <v>304</v>
      </c>
    </row>
    <row r="11" spans="1:21">
      <c r="A11" s="28">
        <v>1</v>
      </c>
      <c r="B11" s="9" t="s">
        <v>344</v>
      </c>
      <c r="C11" s="15" t="b">
        <f>IF(B11="",FALSE,ISNA(VLOOKUP(B11,F:F,1,0)))</f>
        <v>0</v>
      </c>
      <c r="F11" s="22" t="s">
        <v>302</v>
      </c>
      <c r="G11" s="15" t="b">
        <f>IF(F11="",FALSE,ISNA(VLOOKUP(F11,J:M,1,0)))</f>
        <v>0</v>
      </c>
      <c r="J11" s="22" t="s">
        <v>299</v>
      </c>
      <c r="K11" s="23" t="s">
        <v>255</v>
      </c>
      <c r="U11" s="26" t="s">
        <v>300</v>
      </c>
    </row>
    <row r="12" spans="1:21">
      <c r="A12" s="28">
        <f>IF(B12="","",A11+1)</f>
        <v>2</v>
      </c>
      <c r="B12" s="9" t="s">
        <v>345</v>
      </c>
      <c r="C12" s="15" t="b">
        <f>IF(B12="",FALSE,ISNA(VLOOKUP(B12,F:F,1,0)))</f>
        <v>0</v>
      </c>
      <c r="F12" s="22" t="s">
        <v>303</v>
      </c>
      <c r="G12" s="15" t="b">
        <f t="shared" ref="G12:G14" si="0">IF(F12="",FALSE,ISNA(VLOOKUP(F12,J:M,1,0)))</f>
        <v>0</v>
      </c>
      <c r="J12" s="22" t="s">
        <v>293</v>
      </c>
      <c r="K12" s="23" t="s">
        <v>294</v>
      </c>
      <c r="U12" s="26" t="s">
        <v>305</v>
      </c>
    </row>
    <row r="13" spans="1:21">
      <c r="A13" s="28">
        <f t="shared" ref="A13:A18" si="1">IF(B13="","",A12+1)</f>
        <v>3</v>
      </c>
      <c r="B13" s="9" t="s">
        <v>346</v>
      </c>
      <c r="C13" s="15" t="b">
        <f t="shared" ref="C13:C17" si="2">IF(B13="",FALSE,ISNA(VLOOKUP(B13,F:F,1,0)))</f>
        <v>0</v>
      </c>
      <c r="F13" s="22"/>
      <c r="G13" s="15" t="b">
        <f t="shared" si="0"/>
        <v>0</v>
      </c>
      <c r="J13" s="22" t="s">
        <v>295</v>
      </c>
      <c r="K13" s="23">
        <v>15</v>
      </c>
      <c r="U13" s="26" t="s">
        <v>306</v>
      </c>
    </row>
    <row r="14" spans="1:21">
      <c r="A14" s="28">
        <f t="shared" si="1"/>
        <v>4</v>
      </c>
      <c r="B14" s="9" t="s">
        <v>350</v>
      </c>
      <c r="C14" s="15" t="b">
        <f t="shared" si="2"/>
        <v>0</v>
      </c>
      <c r="F14" s="22"/>
      <c r="G14" s="15" t="b">
        <f t="shared" si="0"/>
        <v>0</v>
      </c>
      <c r="J14" s="22" t="s">
        <v>296</v>
      </c>
      <c r="K14" s="23">
        <v>999</v>
      </c>
      <c r="U14" s="26" t="s">
        <v>307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297</v>
      </c>
      <c r="K15" s="51">
        <v>0.27500000000000002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8" t="str">
        <f t="shared" si="1"/>
        <v/>
      </c>
      <c r="B18" s="9"/>
      <c r="C18" s="15" t="b">
        <f t="shared" ref="C14:C18" si="3">IF(B19="",FALSE,ISNA(VLOOKUP(B19,F:F,1,0)))</f>
        <v>0</v>
      </c>
      <c r="F18" s="9" t="s">
        <v>302</v>
      </c>
      <c r="G18" s="15" t="b">
        <f>IF(F18="",FALSE,ISNA(VLOOKUP(F18,J:M,1,0)))</f>
        <v>0</v>
      </c>
      <c r="J18" s="22" t="s">
        <v>299</v>
      </c>
      <c r="K18" s="23" t="s">
        <v>262</v>
      </c>
    </row>
    <row r="19" spans="1:11">
      <c r="F19" s="9" t="s">
        <v>303</v>
      </c>
      <c r="G19" s="15" t="b">
        <f t="shared" ref="G19:G21" si="4">IF(F19="",FALSE,ISNA(VLOOKUP(F19,J:M,1,0)))</f>
        <v>0</v>
      </c>
      <c r="J19" s="22" t="s">
        <v>293</v>
      </c>
      <c r="K19" s="23" t="s">
        <v>304</v>
      </c>
    </row>
    <row r="20" spans="1:11">
      <c r="F20" s="9" t="s">
        <v>308</v>
      </c>
      <c r="G20" s="15" t="b">
        <f t="shared" si="4"/>
        <v>0</v>
      </c>
      <c r="J20" s="22" t="s">
        <v>295</v>
      </c>
      <c r="K20" s="23">
        <v>15</v>
      </c>
    </row>
    <row r="21" spans="1:11">
      <c r="F21" s="9"/>
      <c r="G21" s="15" t="b">
        <f t="shared" si="4"/>
        <v>0</v>
      </c>
      <c r="J21" s="22" t="s">
        <v>296</v>
      </c>
      <c r="K21" s="23">
        <v>999</v>
      </c>
    </row>
    <row r="22" spans="1:11">
      <c r="G22" s="15"/>
      <c r="J22" s="22" t="s">
        <v>297</v>
      </c>
      <c r="K22" s="50">
        <v>0.2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5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5"/>
        <v>0</v>
      </c>
      <c r="J26" s="9" t="s">
        <v>293</v>
      </c>
      <c r="K26" s="10" t="s">
        <v>304</v>
      </c>
    </row>
    <row r="27" spans="1:11">
      <c r="F27" s="9"/>
      <c r="G27" s="15" t="b">
        <f t="shared" si="5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1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6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6"/>
        <v>0</v>
      </c>
      <c r="J32" s="9" t="s">
        <v>299</v>
      </c>
      <c r="K32" s="10" t="s">
        <v>262</v>
      </c>
    </row>
    <row r="33" spans="6:11">
      <c r="F33" s="9"/>
      <c r="G33" s="15" t="b">
        <f t="shared" si="6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356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7">IF(F37="",FALSE,ISNA(VLOOKUP(F37,J:M,1,0)))</f>
        <v>0</v>
      </c>
    </row>
    <row r="38" spans="6:11">
      <c r="F38" s="9" t="s">
        <v>355</v>
      </c>
      <c r="G38" s="15" t="b">
        <f t="shared" si="7"/>
        <v>0</v>
      </c>
      <c r="J38" s="8" t="s">
        <v>348</v>
      </c>
      <c r="K38" s="8"/>
    </row>
    <row r="39" spans="6:11">
      <c r="F39" s="9"/>
      <c r="G39" s="15" t="b">
        <f t="shared" si="7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350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8">IF(F43="",FALSE,ISNA(VLOOKUP(F43,J:M,1,0)))</f>
        <v>0</v>
      </c>
      <c r="J43" s="9" t="s">
        <v>297</v>
      </c>
      <c r="K43" s="10">
        <v>0.3</v>
      </c>
    </row>
    <row r="44" spans="6:11">
      <c r="F44" s="9" t="s">
        <v>349</v>
      </c>
      <c r="G44" s="15" t="b">
        <f t="shared" si="8"/>
        <v>0</v>
      </c>
    </row>
    <row r="45" spans="6:11">
      <c r="F45" s="9"/>
      <c r="G45" s="15" t="b">
        <f t="shared" si="8"/>
        <v>0</v>
      </c>
      <c r="J45" s="8" t="s">
        <v>355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354</v>
      </c>
    </row>
    <row r="48" spans="6:11">
      <c r="J48" s="9" t="s">
        <v>295</v>
      </c>
      <c r="K48" s="10">
        <v>20</v>
      </c>
    </row>
    <row r="49" spans="10:11">
      <c r="J49" s="9" t="s">
        <v>296</v>
      </c>
      <c r="K49" s="10">
        <v>30</v>
      </c>
    </row>
    <row r="50" spans="10:11">
      <c r="J50" s="9" t="s">
        <v>297</v>
      </c>
      <c r="K50" s="10">
        <v>0.6</v>
      </c>
    </row>
    <row r="52" spans="10:11">
      <c r="J52" s="8" t="s">
        <v>349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:B16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2015-11-27T18:52:00Z</dcterms:modified>
</cp:coreProperties>
</file>