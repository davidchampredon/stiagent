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34680" yWindow="6220" windowWidth="25600" windowHeight="16060" tabRatio="500" activeTab="4"/>
  </bookViews>
  <sheets>
    <sheet name="Main" sheetId="1" r:id="rId1"/>
    <sheet name="STIfeatures" sheetId="4" r:id="rId2"/>
    <sheet name="partnerships" sheetId="2" r:id="rId3"/>
    <sheet name="sex-activity" sheetId="3" r:id="rId4"/>
    <sheet name="interventions" sheetId="5" r:id="rId5"/>
  </sheets>
  <definedNames>
    <definedName name="_xlnm._FilterDatabase" localSheetId="1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STIfeatures!$B$6:$C$166</definedName>
    <definedName name="STItreatment">STIfeatures!$H$6:$I$29</definedName>
    <definedName name="STIvaccine">STIfeatures!$K$6:$L$29</definedName>
    <definedName name="timestamp_interventions">interventions!$L$5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7" i="5" l="1"/>
  <c r="C16" i="5"/>
  <c r="C15" i="5"/>
  <c r="C14" i="5"/>
  <c r="C13" i="5"/>
  <c r="G45" i="5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2" i="5"/>
  <c r="A13" i="5"/>
  <c r="A14" i="5"/>
  <c r="A15" i="5"/>
  <c r="A16" i="5"/>
  <c r="A17" i="5"/>
  <c r="A18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D85" i="4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G84" i="4"/>
  <c r="AH296" i="4"/>
  <c r="AG296" i="4"/>
  <c r="AF296" i="4"/>
  <c r="AE296" i="4"/>
  <c r="AH295" i="4"/>
  <c r="AG295" i="4"/>
  <c r="AF295" i="4"/>
  <c r="AE295" i="4"/>
  <c r="AH294" i="4"/>
  <c r="AG294" i="4"/>
  <c r="AF294" i="4"/>
  <c r="AE294" i="4"/>
  <c r="AH293" i="4"/>
  <c r="AG293" i="4"/>
  <c r="AF293" i="4"/>
  <c r="AE293" i="4"/>
  <c r="AH292" i="4"/>
  <c r="AG292" i="4"/>
  <c r="AF292" i="4"/>
  <c r="AE292" i="4"/>
  <c r="AH291" i="4"/>
  <c r="AG291" i="4"/>
  <c r="AF291" i="4"/>
  <c r="AE291" i="4"/>
  <c r="AH290" i="4"/>
  <c r="AG290" i="4"/>
  <c r="AF290" i="4"/>
  <c r="AE290" i="4"/>
  <c r="AH289" i="4"/>
  <c r="AG289" i="4"/>
  <c r="AF289" i="4"/>
  <c r="AE289" i="4"/>
  <c r="AH288" i="4"/>
  <c r="AG288" i="4"/>
  <c r="AF288" i="4"/>
  <c r="AE288" i="4"/>
  <c r="AH287" i="4"/>
  <c r="AG287" i="4"/>
  <c r="AF287" i="4"/>
  <c r="AE287" i="4"/>
  <c r="AH286" i="4"/>
  <c r="AG286" i="4"/>
  <c r="AF286" i="4"/>
  <c r="AE286" i="4"/>
  <c r="AH285" i="4"/>
  <c r="AG285" i="4"/>
  <c r="AF285" i="4"/>
  <c r="AE285" i="4"/>
  <c r="AH284" i="4"/>
  <c r="AG284" i="4"/>
  <c r="AF284" i="4"/>
  <c r="AE284" i="4"/>
  <c r="AH283" i="4"/>
  <c r="AG283" i="4"/>
  <c r="AF283" i="4"/>
  <c r="AE283" i="4"/>
  <c r="AH282" i="4"/>
  <c r="AG282" i="4"/>
  <c r="AF282" i="4"/>
  <c r="AE282" i="4"/>
  <c r="AH281" i="4"/>
  <c r="AG281" i="4"/>
  <c r="AF281" i="4"/>
  <c r="AE281" i="4"/>
  <c r="AH280" i="4"/>
  <c r="AG280" i="4"/>
  <c r="AF280" i="4"/>
  <c r="AE280" i="4"/>
  <c r="AH279" i="4"/>
  <c r="AG279" i="4"/>
  <c r="AF279" i="4"/>
  <c r="AE279" i="4"/>
  <c r="AH278" i="4"/>
  <c r="AG278" i="4"/>
  <c r="AF278" i="4"/>
  <c r="AE278" i="4"/>
  <c r="AH277" i="4"/>
  <c r="AG277" i="4"/>
  <c r="AF277" i="4"/>
  <c r="AE277" i="4"/>
  <c r="AH276" i="4"/>
  <c r="AG276" i="4"/>
  <c r="AF276" i="4"/>
  <c r="AE276" i="4"/>
  <c r="AH275" i="4"/>
  <c r="AG275" i="4"/>
  <c r="AF275" i="4"/>
  <c r="AE275" i="4"/>
  <c r="AH274" i="4"/>
  <c r="AG274" i="4"/>
  <c r="AF274" i="4"/>
  <c r="AE274" i="4"/>
  <c r="AH273" i="4"/>
  <c r="AG273" i="4"/>
  <c r="AF273" i="4"/>
  <c r="AE273" i="4"/>
  <c r="AH272" i="4"/>
  <c r="AG272" i="4"/>
  <c r="AF272" i="4"/>
  <c r="AE272" i="4"/>
  <c r="AH271" i="4"/>
  <c r="AG271" i="4"/>
  <c r="AF271" i="4"/>
  <c r="AE271" i="4"/>
  <c r="AH270" i="4"/>
  <c r="AG270" i="4"/>
  <c r="AF270" i="4"/>
  <c r="AE270" i="4"/>
  <c r="AH269" i="4"/>
  <c r="AG269" i="4"/>
  <c r="AF269" i="4"/>
  <c r="AE269" i="4"/>
  <c r="AH268" i="4"/>
  <c r="AG268" i="4"/>
  <c r="AF268" i="4"/>
  <c r="AE268" i="4"/>
  <c r="AH267" i="4"/>
  <c r="AG267" i="4"/>
  <c r="AF267" i="4"/>
  <c r="AE267" i="4"/>
  <c r="AH266" i="4"/>
  <c r="AG266" i="4"/>
  <c r="AF266" i="4"/>
  <c r="AE266" i="4"/>
  <c r="AH265" i="4"/>
  <c r="AG265" i="4"/>
  <c r="AF265" i="4"/>
  <c r="AE265" i="4"/>
  <c r="AH264" i="4"/>
  <c r="AG264" i="4"/>
  <c r="AF264" i="4"/>
  <c r="AE264" i="4"/>
  <c r="AH263" i="4"/>
  <c r="AG263" i="4"/>
  <c r="AF263" i="4"/>
  <c r="AE263" i="4"/>
  <c r="AH262" i="4"/>
  <c r="AG262" i="4"/>
  <c r="AF262" i="4"/>
  <c r="AE262" i="4"/>
  <c r="AH261" i="4"/>
  <c r="AG261" i="4"/>
  <c r="AF261" i="4"/>
  <c r="AE261" i="4"/>
  <c r="AH260" i="4"/>
  <c r="AG260" i="4"/>
  <c r="AF260" i="4"/>
  <c r="AE260" i="4"/>
  <c r="AH259" i="4"/>
  <c r="AG259" i="4"/>
  <c r="AF259" i="4"/>
  <c r="AE259" i="4"/>
  <c r="AH258" i="4"/>
  <c r="AG258" i="4"/>
  <c r="AF258" i="4"/>
  <c r="AE258" i="4"/>
  <c r="AH257" i="4"/>
  <c r="AG257" i="4"/>
  <c r="AF257" i="4"/>
  <c r="AE257" i="4"/>
  <c r="AH256" i="4"/>
  <c r="AG256" i="4"/>
  <c r="AF256" i="4"/>
  <c r="AE256" i="4"/>
  <c r="AH255" i="4"/>
  <c r="AG255" i="4"/>
  <c r="AF255" i="4"/>
  <c r="AE255" i="4"/>
  <c r="AH254" i="4"/>
  <c r="AG254" i="4"/>
  <c r="AF254" i="4"/>
  <c r="AE254" i="4"/>
  <c r="AH253" i="4"/>
  <c r="AG253" i="4"/>
  <c r="AF253" i="4"/>
  <c r="AE253" i="4"/>
  <c r="AH252" i="4"/>
  <c r="AG252" i="4"/>
  <c r="AF252" i="4"/>
  <c r="AE252" i="4"/>
  <c r="AH251" i="4"/>
  <c r="AG251" i="4"/>
  <c r="AF251" i="4"/>
  <c r="AE251" i="4"/>
  <c r="AH250" i="4"/>
  <c r="AG250" i="4"/>
  <c r="AF250" i="4"/>
  <c r="AE250" i="4"/>
  <c r="AH249" i="4"/>
  <c r="AG249" i="4"/>
  <c r="AF249" i="4"/>
  <c r="AE249" i="4"/>
  <c r="AH248" i="4"/>
  <c r="AG248" i="4"/>
  <c r="AF248" i="4"/>
  <c r="AE248" i="4"/>
  <c r="AH247" i="4"/>
  <c r="AG247" i="4"/>
  <c r="AF247" i="4"/>
  <c r="AE247" i="4"/>
  <c r="AH246" i="4"/>
  <c r="AG246" i="4"/>
  <c r="AF246" i="4"/>
  <c r="AE246" i="4"/>
  <c r="AH245" i="4"/>
  <c r="AG245" i="4"/>
  <c r="AF245" i="4"/>
  <c r="AE245" i="4"/>
  <c r="AH244" i="4"/>
  <c r="AG244" i="4"/>
  <c r="AF244" i="4"/>
  <c r="AE244" i="4"/>
  <c r="AH243" i="4"/>
  <c r="AG243" i="4"/>
  <c r="AF243" i="4"/>
  <c r="AE243" i="4"/>
  <c r="AH242" i="4"/>
  <c r="AG242" i="4"/>
  <c r="AF242" i="4"/>
  <c r="AE242" i="4"/>
  <c r="AH241" i="4"/>
  <c r="AG241" i="4"/>
  <c r="AF241" i="4"/>
  <c r="AE241" i="4"/>
  <c r="AH240" i="4"/>
  <c r="AG240" i="4"/>
  <c r="AF240" i="4"/>
  <c r="AE240" i="4"/>
  <c r="AH239" i="4"/>
  <c r="AG239" i="4"/>
  <c r="AF239" i="4"/>
  <c r="AE239" i="4"/>
  <c r="AH238" i="4"/>
  <c r="AG238" i="4"/>
  <c r="AF238" i="4"/>
  <c r="AE238" i="4"/>
  <c r="AH237" i="4"/>
  <c r="AG237" i="4"/>
  <c r="AF237" i="4"/>
  <c r="AE237" i="4"/>
  <c r="AH236" i="4"/>
  <c r="AG236" i="4"/>
  <c r="AF236" i="4"/>
  <c r="AE236" i="4"/>
  <c r="AH235" i="4"/>
  <c r="AG235" i="4"/>
  <c r="AF235" i="4"/>
  <c r="AE235" i="4"/>
  <c r="AH234" i="4"/>
  <c r="AG234" i="4"/>
  <c r="AF234" i="4"/>
  <c r="AE234" i="4"/>
  <c r="AH233" i="4"/>
  <c r="AG233" i="4"/>
  <c r="AF233" i="4"/>
  <c r="AE233" i="4"/>
  <c r="AH232" i="4"/>
  <c r="AG232" i="4"/>
  <c r="AF232" i="4"/>
  <c r="AE232" i="4"/>
  <c r="AH231" i="4"/>
  <c r="AG231" i="4"/>
  <c r="AF231" i="4"/>
  <c r="AE231" i="4"/>
  <c r="AH230" i="4"/>
  <c r="AG230" i="4"/>
  <c r="AF230" i="4"/>
  <c r="AE230" i="4"/>
  <c r="AH229" i="4"/>
  <c r="AG229" i="4"/>
  <c r="AF229" i="4"/>
  <c r="AE229" i="4"/>
  <c r="AH228" i="4"/>
  <c r="AG228" i="4"/>
  <c r="AF228" i="4"/>
  <c r="AE228" i="4"/>
  <c r="AH227" i="4"/>
  <c r="AG227" i="4"/>
  <c r="AF227" i="4"/>
  <c r="AE227" i="4"/>
  <c r="AH226" i="4"/>
  <c r="AG226" i="4"/>
  <c r="AF226" i="4"/>
  <c r="AE226" i="4"/>
  <c r="AH225" i="4"/>
  <c r="AG225" i="4"/>
  <c r="AF225" i="4"/>
  <c r="AE225" i="4"/>
  <c r="AH224" i="4"/>
  <c r="AG224" i="4"/>
  <c r="AF224" i="4"/>
  <c r="AE224" i="4"/>
  <c r="AH223" i="4"/>
  <c r="AG223" i="4"/>
  <c r="AF223" i="4"/>
  <c r="AE223" i="4"/>
  <c r="AH222" i="4"/>
  <c r="AG222" i="4"/>
  <c r="AF222" i="4"/>
  <c r="AE222" i="4"/>
  <c r="AH221" i="4"/>
  <c r="AG221" i="4"/>
  <c r="AF221" i="4"/>
  <c r="AE221" i="4"/>
  <c r="AH220" i="4"/>
  <c r="AG220" i="4"/>
  <c r="AF220" i="4"/>
  <c r="AE220" i="4"/>
  <c r="AH219" i="4"/>
  <c r="AG219" i="4"/>
  <c r="AF219" i="4"/>
  <c r="AE219" i="4"/>
  <c r="AH218" i="4"/>
  <c r="AG218" i="4"/>
  <c r="AF218" i="4"/>
  <c r="AE218" i="4"/>
  <c r="AH217" i="4"/>
  <c r="AG217" i="4"/>
  <c r="AF217" i="4"/>
  <c r="AE217" i="4"/>
  <c r="AH216" i="4"/>
  <c r="AG216" i="4"/>
  <c r="AF216" i="4"/>
  <c r="AE216" i="4"/>
  <c r="AH215" i="4"/>
  <c r="AG215" i="4"/>
  <c r="AF215" i="4"/>
  <c r="AE215" i="4"/>
  <c r="AH214" i="4"/>
  <c r="AG214" i="4"/>
  <c r="AF214" i="4"/>
  <c r="AE214" i="4"/>
  <c r="AH213" i="4"/>
  <c r="AG213" i="4"/>
  <c r="AF213" i="4"/>
  <c r="AE213" i="4"/>
  <c r="AH212" i="4"/>
  <c r="AG212" i="4"/>
  <c r="AF212" i="4"/>
  <c r="AE212" i="4"/>
  <c r="AH211" i="4"/>
  <c r="AG211" i="4"/>
  <c r="AF211" i="4"/>
  <c r="AE211" i="4"/>
  <c r="AH210" i="4"/>
  <c r="AG210" i="4"/>
  <c r="AF210" i="4"/>
  <c r="AE210" i="4"/>
  <c r="AH209" i="4"/>
  <c r="AG209" i="4"/>
  <c r="AF209" i="4"/>
  <c r="AE209" i="4"/>
  <c r="AH208" i="4"/>
  <c r="AG208" i="4"/>
  <c r="AF208" i="4"/>
  <c r="AE208" i="4"/>
  <c r="AH207" i="4"/>
  <c r="AG207" i="4"/>
  <c r="AF207" i="4"/>
  <c r="AE207" i="4"/>
  <c r="AH206" i="4"/>
  <c r="AG206" i="4"/>
  <c r="AF206" i="4"/>
  <c r="AE206" i="4"/>
  <c r="AH205" i="4"/>
  <c r="AG205" i="4"/>
  <c r="AF205" i="4"/>
  <c r="AE205" i="4"/>
  <c r="AH204" i="4"/>
  <c r="AG204" i="4"/>
  <c r="AF204" i="4"/>
  <c r="AE204" i="4"/>
  <c r="AH203" i="4"/>
  <c r="AG203" i="4"/>
  <c r="AF203" i="4"/>
  <c r="AE203" i="4"/>
  <c r="AH202" i="4"/>
  <c r="AG202" i="4"/>
  <c r="AF202" i="4"/>
  <c r="AE202" i="4"/>
  <c r="AH201" i="4"/>
  <c r="AG201" i="4"/>
  <c r="AF201" i="4"/>
  <c r="AE201" i="4"/>
  <c r="AH200" i="4"/>
  <c r="AG200" i="4"/>
  <c r="AF200" i="4"/>
  <c r="AE200" i="4"/>
  <c r="AH199" i="4"/>
  <c r="AG199" i="4"/>
  <c r="AF199" i="4"/>
  <c r="AE199" i="4"/>
  <c r="AH198" i="4"/>
  <c r="AG198" i="4"/>
  <c r="AF198" i="4"/>
  <c r="AE198" i="4"/>
  <c r="AH197" i="4"/>
  <c r="AG197" i="4"/>
  <c r="AF197" i="4"/>
  <c r="AE197" i="4"/>
  <c r="AH196" i="4"/>
  <c r="AG196" i="4"/>
  <c r="AF196" i="4"/>
  <c r="AE196" i="4"/>
  <c r="AH195" i="4"/>
  <c r="AG195" i="4"/>
  <c r="AF195" i="4"/>
  <c r="AE195" i="4"/>
  <c r="AH194" i="4"/>
  <c r="AG194" i="4"/>
  <c r="AF194" i="4"/>
  <c r="AE194" i="4"/>
  <c r="AH193" i="4"/>
  <c r="AG193" i="4"/>
  <c r="AF193" i="4"/>
  <c r="AE193" i="4"/>
  <c r="AH192" i="4"/>
  <c r="AG192" i="4"/>
  <c r="AF192" i="4"/>
  <c r="AE192" i="4"/>
  <c r="AH191" i="4"/>
  <c r="AG191" i="4"/>
  <c r="AF191" i="4"/>
  <c r="AE191" i="4"/>
  <c r="AH190" i="4"/>
  <c r="AG190" i="4"/>
  <c r="AF190" i="4"/>
  <c r="AE190" i="4"/>
  <c r="AH189" i="4"/>
  <c r="AG189" i="4"/>
  <c r="AF189" i="4"/>
  <c r="AE189" i="4"/>
  <c r="AH188" i="4"/>
  <c r="AG188" i="4"/>
  <c r="AF188" i="4"/>
  <c r="AE188" i="4"/>
  <c r="AH187" i="4"/>
  <c r="AG187" i="4"/>
  <c r="AF187" i="4"/>
  <c r="AE187" i="4"/>
  <c r="AH186" i="4"/>
  <c r="AG186" i="4"/>
  <c r="AF186" i="4"/>
  <c r="AE186" i="4"/>
  <c r="AH185" i="4"/>
  <c r="AG185" i="4"/>
  <c r="AF185" i="4"/>
  <c r="AE185" i="4"/>
  <c r="AH184" i="4"/>
  <c r="AG184" i="4"/>
  <c r="AF184" i="4"/>
  <c r="AE184" i="4"/>
  <c r="AH183" i="4"/>
  <c r="AG183" i="4"/>
  <c r="AF183" i="4"/>
  <c r="AE183" i="4"/>
  <c r="AH182" i="4"/>
  <c r="AG182" i="4"/>
  <c r="AF182" i="4"/>
  <c r="AE182" i="4"/>
  <c r="AH181" i="4"/>
  <c r="AG181" i="4"/>
  <c r="AF181" i="4"/>
  <c r="AE181" i="4"/>
  <c r="AH180" i="4"/>
  <c r="AG180" i="4"/>
  <c r="AF180" i="4"/>
  <c r="AE180" i="4"/>
  <c r="AH179" i="4"/>
  <c r="AG179" i="4"/>
  <c r="AF179" i="4"/>
  <c r="AE179" i="4"/>
  <c r="AH178" i="4"/>
  <c r="AG178" i="4"/>
  <c r="AF178" i="4"/>
  <c r="AE178" i="4"/>
  <c r="AH177" i="4"/>
  <c r="AG177" i="4"/>
  <c r="AF177" i="4"/>
  <c r="AE177" i="4"/>
  <c r="AH176" i="4"/>
  <c r="AG176" i="4"/>
  <c r="AF176" i="4"/>
  <c r="AE176" i="4"/>
  <c r="AH175" i="4"/>
  <c r="AG175" i="4"/>
  <c r="AF175" i="4"/>
  <c r="AE175" i="4"/>
  <c r="AH174" i="4"/>
  <c r="AG174" i="4"/>
  <c r="AF174" i="4"/>
  <c r="AE174" i="4"/>
  <c r="AH173" i="4"/>
  <c r="AG173" i="4"/>
  <c r="AF173" i="4"/>
  <c r="AE173" i="4"/>
  <c r="AH172" i="4"/>
  <c r="AG172" i="4"/>
  <c r="AF172" i="4"/>
  <c r="AE172" i="4"/>
  <c r="AH171" i="4"/>
  <c r="AG171" i="4"/>
  <c r="AF171" i="4"/>
  <c r="AE171" i="4"/>
  <c r="AH170" i="4"/>
  <c r="AG170" i="4"/>
  <c r="AF170" i="4"/>
  <c r="AE170" i="4"/>
  <c r="AH169" i="4"/>
  <c r="AG169" i="4"/>
  <c r="AF169" i="4"/>
  <c r="AE169" i="4"/>
  <c r="AH168" i="4"/>
  <c r="AG168" i="4"/>
  <c r="AF168" i="4"/>
  <c r="AE168" i="4"/>
  <c r="AH167" i="4"/>
  <c r="AG167" i="4"/>
  <c r="AF167" i="4"/>
  <c r="AE167" i="4"/>
  <c r="AH166" i="4"/>
  <c r="AG166" i="4"/>
  <c r="AF166" i="4"/>
  <c r="AE166" i="4"/>
  <c r="AH165" i="4"/>
  <c r="AG165" i="4"/>
  <c r="AF165" i="4"/>
  <c r="AE165" i="4"/>
  <c r="AH164" i="4"/>
  <c r="AG164" i="4"/>
  <c r="AF164" i="4"/>
  <c r="AE164" i="4"/>
  <c r="AH163" i="4"/>
  <c r="AG163" i="4"/>
  <c r="AF163" i="4"/>
  <c r="AE163" i="4"/>
  <c r="AH162" i="4"/>
  <c r="AG162" i="4"/>
  <c r="AF162" i="4"/>
  <c r="AE162" i="4"/>
  <c r="AH161" i="4"/>
  <c r="AG161" i="4"/>
  <c r="AF161" i="4"/>
  <c r="AE161" i="4"/>
  <c r="AH160" i="4"/>
  <c r="AG160" i="4"/>
  <c r="AF160" i="4"/>
  <c r="AE160" i="4"/>
  <c r="AH159" i="4"/>
  <c r="AG159" i="4"/>
  <c r="AF159" i="4"/>
  <c r="AE159" i="4"/>
  <c r="AH158" i="4"/>
  <c r="AG158" i="4"/>
  <c r="AF158" i="4"/>
  <c r="AE158" i="4"/>
  <c r="AH157" i="4"/>
  <c r="AG157" i="4"/>
  <c r="AF157" i="4"/>
  <c r="AE157" i="4"/>
  <c r="AH156" i="4"/>
  <c r="AG156" i="4"/>
  <c r="AF156" i="4"/>
  <c r="AE156" i="4"/>
  <c r="AH155" i="4"/>
  <c r="AG155" i="4"/>
  <c r="AF155" i="4"/>
  <c r="AE155" i="4"/>
  <c r="AH154" i="4"/>
  <c r="AG154" i="4"/>
  <c r="AF154" i="4"/>
  <c r="AE154" i="4"/>
  <c r="AH153" i="4"/>
  <c r="AG153" i="4"/>
  <c r="AF153" i="4"/>
  <c r="AE153" i="4"/>
  <c r="AH152" i="4"/>
  <c r="AG152" i="4"/>
  <c r="AF152" i="4"/>
  <c r="AE152" i="4"/>
  <c r="AH151" i="4"/>
  <c r="AG151" i="4"/>
  <c r="AF151" i="4"/>
  <c r="AE151" i="4"/>
  <c r="AH150" i="4"/>
  <c r="AG150" i="4"/>
  <c r="AF150" i="4"/>
  <c r="AE150" i="4"/>
  <c r="AH149" i="4"/>
  <c r="AG149" i="4"/>
  <c r="AF149" i="4"/>
  <c r="AE149" i="4"/>
  <c r="AH148" i="4"/>
  <c r="AG148" i="4"/>
  <c r="AF148" i="4"/>
  <c r="AE148" i="4"/>
  <c r="AH147" i="4"/>
  <c r="AG147" i="4"/>
  <c r="AF147" i="4"/>
  <c r="AE147" i="4"/>
  <c r="AH146" i="4"/>
  <c r="AG146" i="4"/>
  <c r="AF146" i="4"/>
  <c r="AE146" i="4"/>
  <c r="AH145" i="4"/>
  <c r="AG145" i="4"/>
  <c r="AF145" i="4"/>
  <c r="AE145" i="4"/>
  <c r="AH144" i="4"/>
  <c r="AG144" i="4"/>
  <c r="AF144" i="4"/>
  <c r="AE144" i="4"/>
  <c r="AH143" i="4"/>
  <c r="AG143" i="4"/>
  <c r="AF143" i="4"/>
  <c r="AE143" i="4"/>
  <c r="AH142" i="4"/>
  <c r="AG142" i="4"/>
  <c r="AF142" i="4"/>
  <c r="AE142" i="4"/>
  <c r="AH141" i="4"/>
  <c r="AG141" i="4"/>
  <c r="AF141" i="4"/>
  <c r="AE141" i="4"/>
  <c r="AH140" i="4"/>
  <c r="AG140" i="4"/>
  <c r="AF140" i="4"/>
  <c r="AE140" i="4"/>
  <c r="AH139" i="4"/>
  <c r="AG139" i="4"/>
  <c r="AF139" i="4"/>
  <c r="AE139" i="4"/>
  <c r="AH138" i="4"/>
  <c r="AG138" i="4"/>
  <c r="AF138" i="4"/>
  <c r="AE138" i="4"/>
  <c r="AH137" i="4"/>
  <c r="AG137" i="4"/>
  <c r="AF137" i="4"/>
  <c r="AE137" i="4"/>
  <c r="AH136" i="4"/>
  <c r="AG136" i="4"/>
  <c r="AF136" i="4"/>
  <c r="AE136" i="4"/>
  <c r="AH135" i="4"/>
  <c r="AG135" i="4"/>
  <c r="AF135" i="4"/>
  <c r="AE135" i="4"/>
  <c r="AH134" i="4"/>
  <c r="AG134" i="4"/>
  <c r="AF134" i="4"/>
  <c r="AE134" i="4"/>
  <c r="AH133" i="4"/>
  <c r="AG133" i="4"/>
  <c r="AF133" i="4"/>
  <c r="AE133" i="4"/>
  <c r="AH132" i="4"/>
  <c r="AG132" i="4"/>
  <c r="AF132" i="4"/>
  <c r="AE132" i="4"/>
  <c r="AH131" i="4"/>
  <c r="AG131" i="4"/>
  <c r="AF131" i="4"/>
  <c r="AE131" i="4"/>
  <c r="AH130" i="4"/>
  <c r="AG130" i="4"/>
  <c r="AF130" i="4"/>
  <c r="AE130" i="4"/>
  <c r="AH129" i="4"/>
  <c r="AG129" i="4"/>
  <c r="AF129" i="4"/>
  <c r="AE129" i="4"/>
  <c r="AH128" i="4"/>
  <c r="AG128" i="4"/>
  <c r="AF128" i="4"/>
  <c r="AE128" i="4"/>
  <c r="AH127" i="4"/>
  <c r="AG127" i="4"/>
  <c r="AF127" i="4"/>
  <c r="AE127" i="4"/>
  <c r="AH126" i="4"/>
  <c r="AG126" i="4"/>
  <c r="AF126" i="4"/>
  <c r="AE126" i="4"/>
  <c r="AF85" i="4"/>
  <c r="AG85" i="4"/>
  <c r="AH85" i="4"/>
  <c r="AE85" i="4"/>
  <c r="AF86" i="4"/>
  <c r="AG86" i="4"/>
  <c r="AH86" i="4"/>
  <c r="AE86" i="4"/>
  <c r="AF87" i="4"/>
  <c r="AG87" i="4"/>
  <c r="AH87" i="4"/>
  <c r="AE87" i="4"/>
  <c r="AF88" i="4"/>
  <c r="AG88" i="4"/>
  <c r="AH88" i="4"/>
  <c r="AE88" i="4"/>
  <c r="AF89" i="4"/>
  <c r="AG89" i="4"/>
  <c r="AH89" i="4"/>
  <c r="AE89" i="4"/>
  <c r="AF90" i="4"/>
  <c r="AG90" i="4"/>
  <c r="AH90" i="4"/>
  <c r="AE90" i="4"/>
  <c r="AF91" i="4"/>
  <c r="AG91" i="4"/>
  <c r="AH91" i="4"/>
  <c r="AE91" i="4"/>
  <c r="AF92" i="4"/>
  <c r="AG92" i="4"/>
  <c r="AH92" i="4"/>
  <c r="AE92" i="4"/>
  <c r="AF93" i="4"/>
  <c r="AG93" i="4"/>
  <c r="AH93" i="4"/>
  <c r="AE93" i="4"/>
  <c r="AF94" i="4"/>
  <c r="AG94" i="4"/>
  <c r="AH94" i="4"/>
  <c r="AE94" i="4"/>
  <c r="AF95" i="4"/>
  <c r="AG95" i="4"/>
  <c r="AH95" i="4"/>
  <c r="AE95" i="4"/>
  <c r="AF96" i="4"/>
  <c r="AG96" i="4"/>
  <c r="AH96" i="4"/>
  <c r="AE96" i="4"/>
  <c r="AF97" i="4"/>
  <c r="AG97" i="4"/>
  <c r="AH97" i="4"/>
  <c r="AE97" i="4"/>
  <c r="AF98" i="4"/>
  <c r="AG98" i="4"/>
  <c r="AH98" i="4"/>
  <c r="AE98" i="4"/>
  <c r="AF99" i="4"/>
  <c r="AG99" i="4"/>
  <c r="AH99" i="4"/>
  <c r="AE99" i="4"/>
  <c r="AF100" i="4"/>
  <c r="AG100" i="4"/>
  <c r="AH100" i="4"/>
  <c r="AE100" i="4"/>
  <c r="AF101" i="4"/>
  <c r="AG101" i="4"/>
  <c r="AH101" i="4"/>
  <c r="AE101" i="4"/>
  <c r="AF102" i="4"/>
  <c r="AG102" i="4"/>
  <c r="AH102" i="4"/>
  <c r="AE102" i="4"/>
  <c r="AF103" i="4"/>
  <c r="AG103" i="4"/>
  <c r="AH103" i="4"/>
  <c r="AE103" i="4"/>
  <c r="AF104" i="4"/>
  <c r="AG104" i="4"/>
  <c r="AH104" i="4"/>
  <c r="AE104" i="4"/>
  <c r="AF105" i="4"/>
  <c r="AG105" i="4"/>
  <c r="AH105" i="4"/>
  <c r="AE105" i="4"/>
  <c r="AF106" i="4"/>
  <c r="AG106" i="4"/>
  <c r="AH106" i="4"/>
  <c r="AE106" i="4"/>
  <c r="AF107" i="4"/>
  <c r="AG107" i="4"/>
  <c r="AH107" i="4"/>
  <c r="AE107" i="4"/>
  <c r="AF108" i="4"/>
  <c r="AG108" i="4"/>
  <c r="AH108" i="4"/>
  <c r="AE108" i="4"/>
  <c r="AF109" i="4"/>
  <c r="AG109" i="4"/>
  <c r="AH109" i="4"/>
  <c r="AE109" i="4"/>
  <c r="AF110" i="4"/>
  <c r="AG110" i="4"/>
  <c r="AH110" i="4"/>
  <c r="AE110" i="4"/>
  <c r="AF111" i="4"/>
  <c r="AG111" i="4"/>
  <c r="AH111" i="4"/>
  <c r="AE111" i="4"/>
  <c r="AF112" i="4"/>
  <c r="AG112" i="4"/>
  <c r="AH112" i="4"/>
  <c r="AE112" i="4"/>
  <c r="AF113" i="4"/>
  <c r="AG113" i="4"/>
  <c r="AH113" i="4"/>
  <c r="AE113" i="4"/>
  <c r="AF114" i="4"/>
  <c r="AG114" i="4"/>
  <c r="AH114" i="4"/>
  <c r="AE114" i="4"/>
  <c r="AF115" i="4"/>
  <c r="AG115" i="4"/>
  <c r="AH115" i="4"/>
  <c r="AE115" i="4"/>
  <c r="AF116" i="4"/>
  <c r="AG116" i="4"/>
  <c r="AH116" i="4"/>
  <c r="AE116" i="4"/>
  <c r="AF117" i="4"/>
  <c r="AG117" i="4"/>
  <c r="AH117" i="4"/>
  <c r="AE117" i="4"/>
  <c r="AF118" i="4"/>
  <c r="AG118" i="4"/>
  <c r="AH118" i="4"/>
  <c r="AE118" i="4"/>
  <c r="AF119" i="4"/>
  <c r="AG119" i="4"/>
  <c r="AH119" i="4"/>
  <c r="AE119" i="4"/>
  <c r="AF120" i="4"/>
  <c r="AG120" i="4"/>
  <c r="AH120" i="4"/>
  <c r="AE120" i="4"/>
  <c r="AF121" i="4"/>
  <c r="AG121" i="4"/>
  <c r="AH121" i="4"/>
  <c r="AE121" i="4"/>
  <c r="AF122" i="4"/>
  <c r="AG122" i="4"/>
  <c r="AH122" i="4"/>
  <c r="AE122" i="4"/>
  <c r="AF123" i="4"/>
  <c r="AG123" i="4"/>
  <c r="AH123" i="4"/>
  <c r="AE123" i="4"/>
  <c r="AF124" i="4"/>
  <c r="AG124" i="4"/>
  <c r="AH124" i="4"/>
  <c r="AE124" i="4"/>
  <c r="AF125" i="4"/>
  <c r="AG125" i="4"/>
  <c r="AH125" i="4"/>
  <c r="AE125" i="4"/>
  <c r="AF84" i="4"/>
  <c r="AH84" i="4"/>
  <c r="AE84" i="4"/>
  <c r="C12" i="5"/>
  <c r="C11" i="5"/>
</calcChain>
</file>

<file path=xl/sharedStrings.xml><?xml version="1.0" encoding="utf-8"?>
<sst xmlns="http://schemas.openxmlformats.org/spreadsheetml/2006/main" count="442" uniqueCount="357">
  <si>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</si>
  <si>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</si>
  <si>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</si>
  <si>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</si>
  <si>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</si>
  <si>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</si>
  <si>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</si>
  <si>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</si>
  <si>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</si>
  <si>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</si>
  <si>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</si>
  <si>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</si>
  <si>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</si>
  <si>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</si>
  <si>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</si>
  <si>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</si>
  <si>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</si>
  <si>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</si>
  <si>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</si>
  <si>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</si>
  <si>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</si>
  <si>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</si>
  <si>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</si>
  <si>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</si>
  <si>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</si>
  <si>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</si>
  <si>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</si>
  <si>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</si>
  <si>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</si>
  <si>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</si>
  <si>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</si>
  <si>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</si>
  <si>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</si>
  <si>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</si>
  <si>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</si>
  <si>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</si>
  <si>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</si>
  <si>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</si>
  <si>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</si>
  <si>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</si>
  <si>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</si>
  <si>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</si>
  <si>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</si>
  <si>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</si>
  <si>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</si>
  <si>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</si>
  <si>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</si>
  <si>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</si>
  <si>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</si>
  <si>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</si>
  <si>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</si>
  <si>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</si>
  <si>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</si>
  <si>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</si>
  <si>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</si>
  <si>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</si>
  <si>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</si>
  <si>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</si>
  <si>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</si>
  <si>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</si>
  <si>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</si>
  <si>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</si>
  <si>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</si>
  <si>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</si>
  <si>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</si>
  <si>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</si>
  <si>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</si>
  <si>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</si>
  <si>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</si>
  <si>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</si>
  <si>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</si>
  <si>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</si>
  <si>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</si>
  <si>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</si>
  <si>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</si>
  <si>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</si>
  <si>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</si>
  <si>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</si>
  <si>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</si>
  <si>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</si>
  <si>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</si>
  <si>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</si>
  <si>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</si>
  <si>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</si>
  <si>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</si>
  <si>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</si>
  <si>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</si>
  <si>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</si>
  <si>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</si>
  <si>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</si>
  <si>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</si>
  <si>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</si>
  <si>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</si>
  <si>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</si>
  <si>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</si>
  <si>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</si>
  <si>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</si>
  <si>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</si>
  <si>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</si>
  <si>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</si>
  <si>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</si>
  <si>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</si>
  <si>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</si>
  <si>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</si>
  <si>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</si>
  <si>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</si>
  <si>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</si>
  <si>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</si>
  <si>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</si>
  <si>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</si>
  <si>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</si>
  <si>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</si>
  <si>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</si>
  <si>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</si>
  <si>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</si>
  <si>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</si>
  <si>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</si>
  <si>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</si>
  <si>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</si>
  <si>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</si>
  <si>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</si>
  <si>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</si>
  <si>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</si>
  <si>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</si>
  <si>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</si>
  <si>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</si>
  <si>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</si>
  <si>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</si>
  <si>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</si>
  <si>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</si>
  <si>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</si>
  <si>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</si>
  <si>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</si>
  <si>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</si>
  <si>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</si>
  <si>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</si>
  <si>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</si>
  <si>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</si>
  <si>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</si>
  <si>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</si>
  <si>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</si>
  <si>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</si>
  <si>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</si>
  <si>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</si>
  <si>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</si>
  <si>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</si>
  <si>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</si>
  <si>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</si>
  <si>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</si>
  <si>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</si>
  <si>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</si>
  <si>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</si>
  <si>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</si>
  <si>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</si>
  <si>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</si>
  <si>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</si>
  <si>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</si>
  <si>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</si>
  <si>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</si>
  <si>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</si>
  <si>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</si>
  <si>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</si>
  <si>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</si>
  <si>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</si>
  <si>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</si>
  <si>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</si>
  <si>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</si>
  <si>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</si>
  <si>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</si>
  <si>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</si>
  <si>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</si>
  <si>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</si>
  <si>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</si>
  <si>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</si>
  <si>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</si>
  <si>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</si>
  <si>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</si>
  <si>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</si>
  <si>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</si>
  <si>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</si>
  <si>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</si>
  <si>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</si>
  <si>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</si>
  <si>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</si>
  <si>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</si>
  <si>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</si>
  <si>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</si>
  <si>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</si>
  <si>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</si>
  <si>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</si>
  <si>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</si>
  <si>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</si>
  <si>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</si>
  <si>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</si>
  <si>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</si>
  <si>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</si>
  <si>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</si>
  <si>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</si>
  <si>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</si>
  <si>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</si>
  <si>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</si>
  <si>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</si>
  <si>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</si>
  <si>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</si>
  <si>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</si>
  <si>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</si>
  <si>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</si>
  <si>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</si>
  <si>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</si>
  <si>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</si>
  <si>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</si>
  <si>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</si>
  <si>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</si>
  <si>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</si>
  <si>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</si>
  <si>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</si>
  <si>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</si>
  <si>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</si>
  <si>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</si>
  <si>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</si>
  <si>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</si>
  <si>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</si>
  <si>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</si>
  <si>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</si>
  <si>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</si>
  <si>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</si>
  <si>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</si>
  <si>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</si>
  <si>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</si>
  <si>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</si>
  <si>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</si>
  <si>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</si>
  <si>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</si>
  <si>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</si>
  <si>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</si>
  <si>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</si>
  <si>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</si>
  <si>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</si>
  <si>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</si>
  <si>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</si>
  <si>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</si>
  <si>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</si>
  <si>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</si>
  <si>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</si>
  <si>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</si>
  <si>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</si>
  <si>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</si>
  <si>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</si>
  <si>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</si>
  <si>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</si>
  <si>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</si>
  <si>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</si>
  <si>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</si>
  <si>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</si>
  <si>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</si>
  <si>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</si>
  <si>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</si>
  <si>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</si>
  <si>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</si>
  <si>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</si>
  <si>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</si>
  <si>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</si>
  <si>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</si>
  <si>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</si>
  <si>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</si>
  <si>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</si>
  <si>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</si>
  <si>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</si>
  <si>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</si>
  <si>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</si>
  <si>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</si>
  <si>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</si>
  <si>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</si>
  <si>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</si>
  <si>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</si>
  <si>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</si>
  <si>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</si>
  <si>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</si>
  <si>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</si>
  <si>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</si>
  <si>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</si>
  <si>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</si>
  <si>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</si>
  <si>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</si>
  <si>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</si>
  <si>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</si>
  <si>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</si>
  <si>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</si>
  <si>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</si>
  <si>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</si>
  <si>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</si>
  <si>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</si>
  <si>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</si>
  <si>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</si>
  <si>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</si>
  <si>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</si>
  <si>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</si>
  <si>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</si>
  <si>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</si>
  <si>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</si>
  <si>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</si>
  <si>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</si>
  <si>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</si>
  <si>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</si>
  <si>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</si>
  <si>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</si>
  <si>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</si>
  <si>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</si>
  <si>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</si>
  <si>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</si>
  <si>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</si>
  <si>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</si>
  <si>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</si>
  <si>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</si>
  <si>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</si>
  <si>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</si>
  <si>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</si>
  <si>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</si>
  <si>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</si>
  <si>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</si>
  <si>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</si>
  <si>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</si>
  <si>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</si>
  <si>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</si>
  <si>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</si>
  <si>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</si>
  <si>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</si>
  <si>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</si>
  <si>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</si>
  <si>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</si>
  <si>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</si>
  <si>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</si>
  <si>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</si>
  <si>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</si>
  <si>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</si>
  <si>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</si>
  <si>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</si>
  <si>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</si>
  <si>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</si>
  <si>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</si>
  <si>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</si>
  <si>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</si>
  <si>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</si>
  <si>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</si>
  <si>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</si>
  <si>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</si>
  <si>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</si>
  <si>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</si>
  <si>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</si>
  <si>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interv_Tp_vaxyoung.csv</t>
  </si>
  <si>
    <t>in_scenario_VaxYoung.csv</t>
  </si>
  <si>
    <t>founder_size</t>
  </si>
  <si>
    <t>founder_femprop</t>
  </si>
  <si>
    <t>founder_cswprop</t>
  </si>
  <si>
    <t>vaccination_highRisk</t>
  </si>
  <si>
    <t>interv_Tp_vaxHiRisk.csv</t>
  </si>
  <si>
    <t>in_scenario_VaxHiRiskcsv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</si>
</sst>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5" x14ac:knownFonts="1">
    <font>
      <sz val="12"/>
      <color theme="1"/>
      <name val="Century Gothic"/>
      <family val="2"/>
      <charset val="128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4"/>
      <color theme="1"/>
      <name val="Century Gothic"/>
      <scheme val="minor"/>
    </font>
    <font>
      <b/>
      <sz val="14"/>
      <color theme="0"/>
      <name val="Century Gothic"/>
      <scheme val="minor"/>
    </font>
    <font>
      <b/>
      <sz val="14"/>
      <color theme="1"/>
      <name val="Century Gothic"/>
      <scheme val="minor"/>
    </font>
    <font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  <font>
      <b/>
      <sz val="36"/>
      <color theme="0" tint="-0.499984740745262"/>
      <name val="Century Gothic"/>
      <scheme val="minor"/>
    </font>
    <font>
      <sz val="12"/>
      <color theme="0" tint="-0.499984740745262"/>
      <name val="Century Gothic"/>
      <scheme val="minor"/>
    </font>
    <font>
      <b/>
      <sz val="10"/>
      <color theme="0" tint="-0.499984740745262"/>
      <name val="Century Gothic"/>
      <scheme val="minor"/>
    </font>
    <font>
      <b/>
      <sz val="14"/>
      <color theme="0" tint="-0.499984740745262"/>
      <name val="Century Gothic"/>
      <scheme val="minor"/>
    </font>
    <font>
      <b/>
      <sz val="12"/>
      <color theme="0" tint="-0.499984740745262"/>
      <name val="Century Gothic"/>
      <scheme val="minor"/>
    </font>
    <font>
      <sz val="11"/>
      <color theme="0" tint="-0.499984740745262"/>
      <name val="Century Gothic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2942">
    <xf numFmtId="0" fontId="0" fillId="0" borderId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79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6" fillId="2" borderId="0" xfId="0" applyFont="1" applyFill="1"/>
    <xf numFmtId="0" fontId="7" fillId="3" borderId="0" xfId="0" applyFont="1" applyFill="1"/>
    <xf numFmtId="0" fontId="8" fillId="2" borderId="0" xfId="0" applyFont="1" applyFill="1"/>
    <xf numFmtId="0" fontId="0" fillId="4" borderId="0" xfId="0" applyFill="1"/>
    <xf numFmtId="0" fontId="9" fillId="2" borderId="0" xfId="0" applyFont="1" applyFill="1"/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2" fontId="0" fillId="2" borderId="0" xfId="0" applyNumberFormat="1" applyFill="1"/>
    <xf numFmtId="164" fontId="12" fillId="2" borderId="0" xfId="0" applyNumberFormat="1" applyFont="1" applyFill="1"/>
    <xf numFmtId="0" fontId="13" fillId="5" borderId="0" xfId="0" applyFont="1" applyFill="1"/>
    <xf numFmtId="164" fontId="13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4" fillId="2" borderId="0" xfId="0" applyFont="1" applyFill="1"/>
    <xf numFmtId="0" fontId="15" fillId="4" borderId="0" xfId="0" applyFont="1" applyFill="1"/>
    <xf numFmtId="10" fontId="15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5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18" fillId="4" borderId="0" xfId="0" applyNumberFormat="1" applyFont="1" applyFill="1" applyAlignment="1">
      <alignment horizontal="center"/>
    </xf>
    <xf numFmtId="22" fontId="18" fillId="9" borderId="0" xfId="0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164" fontId="0" fillId="7" borderId="0" xfId="0" applyNumberFormat="1" applyFill="1" applyAlignment="1">
      <alignment horizontal="center"/>
    </xf>
    <xf numFmtId="0" fontId="19" fillId="3" borderId="0" xfId="0" applyFont="1" applyFill="1" applyAlignment="1">
      <alignment vertical="center"/>
    </xf>
    <xf numFmtId="0" fontId="20" fillId="3" borderId="0" xfId="0" applyFont="1" applyFill="1" applyAlignment="1">
      <alignment vertical="center"/>
    </xf>
    <xf numFmtId="0" fontId="20" fillId="2" borderId="0" xfId="0" applyFont="1" applyFill="1"/>
    <xf numFmtId="22" fontId="21" fillId="4" borderId="0" xfId="0" applyNumberFormat="1" applyFont="1" applyFill="1" applyAlignment="1">
      <alignment horizontal="center"/>
    </xf>
    <xf numFmtId="0" fontId="22" fillId="5" borderId="0" xfId="0" applyFont="1" applyFill="1" applyAlignment="1">
      <alignment horizontal="center"/>
    </xf>
    <xf numFmtId="0" fontId="20" fillId="5" borderId="0" xfId="0" applyFont="1" applyFill="1"/>
    <xf numFmtId="0" fontId="20" fillId="2" borderId="0" xfId="0" applyFont="1" applyFill="1" applyAlignment="1">
      <alignment horizontal="left"/>
    </xf>
    <xf numFmtId="0" fontId="22" fillId="5" borderId="0" xfId="0" applyFont="1" applyFill="1" applyAlignment="1">
      <alignment horizontal="left"/>
    </xf>
    <xf numFmtId="0" fontId="20" fillId="5" borderId="0" xfId="0" applyFont="1" applyFill="1" applyAlignment="1">
      <alignment horizontal="center"/>
    </xf>
    <xf numFmtId="0" fontId="23" fillId="4" borderId="0" xfId="0" applyFont="1" applyFill="1" applyAlignment="1">
      <alignment horizontal="left"/>
    </xf>
    <xf numFmtId="0" fontId="23" fillId="4" borderId="0" xfId="0" applyFont="1" applyFill="1" applyAlignment="1">
      <alignment horizontal="center"/>
    </xf>
    <xf numFmtId="164" fontId="23" fillId="4" borderId="0" xfId="0" applyNumberFormat="1" applyFont="1" applyFill="1" applyAlignment="1">
      <alignment horizontal="center"/>
    </xf>
    <xf numFmtId="0" fontId="23" fillId="4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center"/>
    </xf>
    <xf numFmtId="0" fontId="23" fillId="4" borderId="2" xfId="0" applyFont="1" applyFill="1" applyBorder="1" applyAlignment="1">
      <alignment horizontal="left"/>
    </xf>
    <xf numFmtId="0" fontId="23" fillId="4" borderId="2" xfId="0" applyFont="1" applyFill="1" applyBorder="1" applyAlignment="1">
      <alignment horizontal="center"/>
    </xf>
    <xf numFmtId="0" fontId="23" fillId="4" borderId="0" xfId="0" applyFont="1" applyFill="1" applyBorder="1" applyAlignment="1">
      <alignment horizontal="left"/>
    </xf>
    <xf numFmtId="0" fontId="23" fillId="4" borderId="0" xfId="0" applyFont="1" applyFill="1" applyBorder="1" applyAlignment="1">
      <alignment horizontal="center"/>
    </xf>
    <xf numFmtId="0" fontId="20" fillId="2" borderId="0" xfId="0" applyFont="1" applyFill="1" applyAlignment="1">
      <alignment horizontal="center"/>
    </xf>
    <xf numFmtId="22" fontId="21" fillId="9" borderId="0" xfId="0" applyNumberFormat="1" applyFont="1" applyFill="1" applyAlignment="1">
      <alignment horizontal="center"/>
    </xf>
    <xf numFmtId="0" fontId="23" fillId="2" borderId="0" xfId="0" applyFont="1" applyFill="1"/>
    <xf numFmtId="0" fontId="24" fillId="8" borderId="0" xfId="0" applyFont="1" applyFill="1" applyAlignment="1">
      <alignment horizontal="center"/>
    </xf>
    <xf numFmtId="2" fontId="23" fillId="4" borderId="0" xfId="0" applyNumberFormat="1" applyFont="1" applyFill="1" applyAlignment="1">
      <alignment horizontal="center"/>
    </xf>
    <xf numFmtId="165" fontId="23" fillId="4" borderId="0" xfId="0" applyNumberFormat="1" applyFont="1" applyFill="1" applyAlignment="1">
      <alignment horizontal="center"/>
    </xf>
    <xf numFmtId="0" fontId="23" fillId="5" borderId="0" xfId="0" applyFont="1" applyFill="1" applyAlignment="1">
      <alignment horizontal="left"/>
    </xf>
    <xf numFmtId="0" fontId="23" fillId="5" borderId="0" xfId="0" applyFont="1" applyFill="1" applyAlignment="1">
      <alignment horizontal="center"/>
    </xf>
    <xf numFmtId="164" fontId="20" fillId="2" borderId="0" xfId="0" applyNumberFormat="1" applyFont="1" applyFill="1"/>
  </cellXfs>
  <cellStyles count="2942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Normal" xfId="0" builtinId="0"/>
    <cellStyle name="Percent" xfId="1" builtinId="5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0.1</c:v>
                </c:pt>
                <c:pt idx="1">
                  <c:v>0.15</c:v>
                </c:pt>
                <c:pt idx="2">
                  <c:v>0.5</c:v>
                </c:pt>
                <c:pt idx="3">
                  <c:v>0.5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07868328"/>
        <c:axId val="2107866952"/>
      </c:barChart>
      <c:catAx>
        <c:axId val="2107868328"/>
        <c:scaling>
          <c:orientation val="minMax"/>
        </c:scaling>
        <c:delete val="0"/>
        <c:axPos val="b"/>
        <c:majorTickMark val="none"/>
        <c:minorTickMark val="none"/>
        <c:tickLblPos val="nextTo"/>
        <c:crossAx val="2107866952"/>
        <c:crosses val="autoZero"/>
        <c:auto val="1"/>
        <c:lblAlgn val="ctr"/>
        <c:lblOffset val="100"/>
        <c:noMultiLvlLbl val="0"/>
      </c:catAx>
      <c:valAx>
        <c:axId val="2107866952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107868328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788536"/>
        <c:axId val="2107783240"/>
      </c:scatterChart>
      <c:valAx>
        <c:axId val="2107788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107783240"/>
        <c:crosses val="autoZero"/>
        <c:crossBetween val="midCat"/>
      </c:valAx>
      <c:valAx>
        <c:axId val="2107783240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210778853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7716120"/>
        <c:axId val="2107713064"/>
      </c:lineChart>
      <c:catAx>
        <c:axId val="2107716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07713064"/>
        <c:crosses val="autoZero"/>
        <c:auto val="1"/>
        <c:lblAlgn val="ctr"/>
        <c:lblOffset val="100"/>
        <c:noMultiLvlLbl val="0"/>
      </c:catAx>
      <c:valAx>
        <c:axId val="2107713064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107716120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7677864"/>
        <c:axId val="2107674808"/>
      </c:lineChart>
      <c:catAx>
        <c:axId val="2107677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07674808"/>
        <c:crosses val="autoZero"/>
        <c:auto val="1"/>
        <c:lblAlgn val="ctr"/>
        <c:lblOffset val="100"/>
        <c:noMultiLvlLbl val="0"/>
      </c:catAx>
      <c:valAx>
        <c:axId val="2107674808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2107677864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649240"/>
        <c:axId val="2107646280"/>
      </c:scatterChart>
      <c:valAx>
        <c:axId val="2107649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7646280"/>
        <c:crosses val="autoZero"/>
        <c:crossBetween val="midCat"/>
      </c:valAx>
      <c:valAx>
        <c:axId val="2107646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764924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9146936"/>
        <c:axId val="2109149976"/>
      </c:lineChart>
      <c:catAx>
        <c:axId val="2109146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9149976"/>
        <c:crosses val="autoZero"/>
        <c:auto val="1"/>
        <c:lblAlgn val="ctr"/>
        <c:lblOffset val="100"/>
        <c:noMultiLvlLbl val="0"/>
      </c:catAx>
      <c:valAx>
        <c:axId val="210914997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091469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9198200"/>
        <c:axId val="2109201240"/>
      </c:scatterChart>
      <c:valAx>
        <c:axId val="2109198200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2109201240"/>
        <c:crosses val="autoZero"/>
        <c:crossBetween val="midCat"/>
        <c:majorUnit val="1.0"/>
      </c:valAx>
      <c:valAx>
        <c:axId val="2109201240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0919820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9229384"/>
        <c:axId val="2109232344"/>
      </c:scatterChart>
      <c:valAx>
        <c:axId val="2109229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9232344"/>
        <c:crosses val="autoZero"/>
        <c:crossBetween val="midCat"/>
      </c:valAx>
      <c:valAx>
        <c:axId val="2109232344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922938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9258248"/>
        <c:axId val="2109261288"/>
      </c:scatterChart>
      <c:valAx>
        <c:axId val="2109258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9261288"/>
        <c:crosses val="autoZero"/>
        <c:crossBetween val="midCat"/>
      </c:valAx>
      <c:valAx>
        <c:axId val="2109261288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0925824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2184856"/>
        <c:axId val="2072181848"/>
      </c:lineChart>
      <c:catAx>
        <c:axId val="2072184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2181848"/>
        <c:crosses val="autoZero"/>
        <c:auto val="1"/>
        <c:lblAlgn val="ctr"/>
        <c:lblOffset val="100"/>
        <c:noMultiLvlLbl val="0"/>
      </c:catAx>
      <c:valAx>
        <c:axId val="2072181848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2184856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150984"/>
        <c:axId val="2072147880"/>
      </c:scatterChart>
      <c:valAx>
        <c:axId val="2072150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2147880"/>
        <c:crosses val="autoZero"/>
        <c:crossBetween val="midCat"/>
      </c:valAx>
      <c:valAx>
        <c:axId val="2072147880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215098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2117192"/>
        <c:axId val="2072114152"/>
      </c:barChart>
      <c:catAx>
        <c:axId val="20721171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072114152"/>
        <c:crosses val="autoZero"/>
        <c:auto val="1"/>
        <c:lblAlgn val="ctr"/>
        <c:lblOffset val="100"/>
        <c:noMultiLvlLbl val="0"/>
      </c:catAx>
      <c:valAx>
        <c:axId val="2072114152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2072117192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4" Type="http://schemas.openxmlformats.org/officeDocument/2006/relationships/chart" Target="../charts/chart10.xml"/><Relationship Id="rId5" Type="http://schemas.openxmlformats.org/officeDocument/2006/relationships/chart" Target="../charts/chart11.xml"/><Relationship Id="rId6" Type="http://schemas.openxmlformats.org/officeDocument/2006/relationships/chart" Target="../charts/chart12.xml"/><Relationship Id="rId1" Type="http://schemas.openxmlformats.org/officeDocument/2006/relationships/chart" Target="../charts/chart7.xml"/><Relationship Id="rId2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14652</xdr:colOff>
      <xdr:row>81</xdr:row>
      <xdr:rowOff>0</xdr:rowOff>
    </xdr:from>
    <xdr:to>
      <xdr:col>10</xdr:col>
      <xdr:colOff>0</xdr:colOff>
      <xdr:row>108</xdr:row>
      <xdr:rowOff>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32"/>
  <sheetViews>
    <sheetView showGridLines="0" showRuler="0" workbookViewId="0">
      <selection activeCell="C27" sqref="C27"/>
    </sheetView>
  </sheetViews>
  <sheetFormatPr baseColWidth="10" defaultRowHeight="16" x14ac:dyDescent="0"/>
  <cols>
    <col min="1" max="1" width="3.28515625" style="54" customWidth="1"/>
    <col min="2" max="2" width="5.5703125" style="54" customWidth="1"/>
    <col min="3" max="3" width="22.85546875" style="54" bestFit="1" customWidth="1"/>
    <col min="4" max="4" width="10.7109375" style="54"/>
    <col min="5" max="5" width="7.140625" style="54" customWidth="1"/>
    <col min="6" max="6" width="24.85546875" style="54" customWidth="1"/>
    <col min="7" max="7" width="10.7109375" style="54"/>
    <col min="8" max="8" width="2.85546875" style="54" customWidth="1"/>
    <col min="9" max="9" width="23.42578125" style="54" bestFit="1" customWidth="1"/>
    <col min="10" max="11" width="10.7109375" style="54"/>
    <col min="12" max="12" width="23" style="54" bestFit="1" customWidth="1"/>
    <col min="13" max="16384" width="10.7109375" style="54"/>
  </cols>
  <sheetData>
    <row r="1" spans="1:16" s="53" customFormat="1" ht="86" customHeight="1">
      <c r="A1" s="52" t="s">
        <v>34</v>
      </c>
    </row>
    <row r="5" spans="1:16">
      <c r="F5" s="55">
        <v>42333.59716435185</v>
      </c>
    </row>
    <row r="9" spans="1:16" ht="18">
      <c r="C9" s="56" t="s">
        <v>7</v>
      </c>
      <c r="D9" s="57"/>
      <c r="E9" s="58"/>
      <c r="F9" s="56" t="s">
        <v>301</v>
      </c>
      <c r="G9" s="57"/>
      <c r="I9" s="56" t="s">
        <v>17</v>
      </c>
      <c r="J9" s="57"/>
      <c r="L9" s="59" t="s">
        <v>310</v>
      </c>
      <c r="M9" s="60" t="s">
        <v>311</v>
      </c>
      <c r="N9" s="60" t="s">
        <v>312</v>
      </c>
      <c r="O9" s="60" t="s">
        <v>313</v>
      </c>
      <c r="P9" s="60" t="s">
        <v>314</v>
      </c>
    </row>
    <row r="10" spans="1:16">
      <c r="C10" s="61" t="s">
        <v>0</v>
      </c>
      <c r="D10" s="62">
        <v>50</v>
      </c>
      <c r="E10" s="58">
        <v>50</v>
      </c>
      <c r="F10" s="61" t="s">
        <v>351</v>
      </c>
      <c r="G10" s="62">
        <v>1000</v>
      </c>
      <c r="I10" s="61" t="s">
        <v>8</v>
      </c>
      <c r="J10" s="63">
        <v>0.03</v>
      </c>
      <c r="L10" s="62" t="s">
        <v>255</v>
      </c>
      <c r="M10" s="63">
        <v>1E-3</v>
      </c>
      <c r="N10" s="63">
        <v>0.01</v>
      </c>
      <c r="O10" s="63">
        <v>0.02</v>
      </c>
      <c r="P10" s="63">
        <v>0.03</v>
      </c>
    </row>
    <row r="11" spans="1:16">
      <c r="C11" s="61" t="s">
        <v>1</v>
      </c>
      <c r="D11" s="62">
        <v>30</v>
      </c>
      <c r="E11" s="58"/>
      <c r="F11" s="61" t="s">
        <v>352</v>
      </c>
      <c r="G11" s="62">
        <v>0.5</v>
      </c>
      <c r="I11" s="61" t="s">
        <v>9</v>
      </c>
      <c r="J11" s="62">
        <v>0.05</v>
      </c>
      <c r="L11" s="62" t="s">
        <v>262</v>
      </c>
      <c r="M11" s="63">
        <v>0.1</v>
      </c>
      <c r="N11" s="63">
        <v>0.15</v>
      </c>
      <c r="O11" s="63">
        <v>0.5</v>
      </c>
      <c r="P11" s="63">
        <v>0.5</v>
      </c>
    </row>
    <row r="12" spans="1:16">
      <c r="C12" s="64" t="s">
        <v>2</v>
      </c>
      <c r="D12" s="65">
        <v>50</v>
      </c>
      <c r="E12" s="58">
        <v>50</v>
      </c>
      <c r="F12" s="61" t="s">
        <v>353</v>
      </c>
      <c r="G12" s="62">
        <v>0.01</v>
      </c>
      <c r="I12" s="61" t="s">
        <v>10</v>
      </c>
      <c r="J12" s="62">
        <v>0.01</v>
      </c>
    </row>
    <row r="13" spans="1:16">
      <c r="C13" s="66" t="s">
        <v>3</v>
      </c>
      <c r="D13" s="67">
        <v>30</v>
      </c>
      <c r="E13" s="58"/>
      <c r="F13" s="64" t="s">
        <v>58</v>
      </c>
      <c r="G13" s="65">
        <v>5</v>
      </c>
      <c r="I13" s="64" t="s">
        <v>11</v>
      </c>
      <c r="J13" s="65">
        <v>2.5</v>
      </c>
    </row>
    <row r="14" spans="1:16">
      <c r="C14" s="61" t="s">
        <v>4</v>
      </c>
      <c r="D14" s="62">
        <v>6</v>
      </c>
      <c r="E14" s="58"/>
      <c r="F14" s="68" t="s">
        <v>59</v>
      </c>
      <c r="G14" s="69">
        <v>12</v>
      </c>
      <c r="I14" s="68" t="s">
        <v>12</v>
      </c>
      <c r="J14" s="69">
        <v>0.01</v>
      </c>
    </row>
    <row r="15" spans="1:16">
      <c r="C15" s="61" t="s">
        <v>5</v>
      </c>
      <c r="D15" s="62">
        <v>3</v>
      </c>
      <c r="E15" s="58"/>
      <c r="F15" s="68" t="s">
        <v>60</v>
      </c>
      <c r="G15" s="69">
        <v>60</v>
      </c>
      <c r="I15" s="68" t="s">
        <v>13</v>
      </c>
      <c r="J15" s="69">
        <v>12.98</v>
      </c>
    </row>
    <row r="16" spans="1:16">
      <c r="C16" s="61" t="s">
        <v>6</v>
      </c>
      <c r="D16" s="62">
        <v>0</v>
      </c>
      <c r="E16" s="58"/>
      <c r="F16" s="68" t="s">
        <v>61</v>
      </c>
      <c r="G16" s="69">
        <v>15</v>
      </c>
      <c r="I16" s="66" t="s">
        <v>14</v>
      </c>
      <c r="J16" s="67">
        <v>0.05</v>
      </c>
    </row>
    <row r="17" spans="3:16">
      <c r="C17" s="57"/>
      <c r="D17" s="57"/>
      <c r="E17" s="58"/>
      <c r="F17" s="66" t="s">
        <v>62</v>
      </c>
      <c r="G17" s="67">
        <v>45</v>
      </c>
      <c r="I17" s="61" t="s">
        <v>15</v>
      </c>
      <c r="J17" s="62">
        <v>40</v>
      </c>
    </row>
    <row r="18" spans="3:16">
      <c r="E18" s="58"/>
      <c r="F18" s="61" t="s">
        <v>63</v>
      </c>
      <c r="G18" s="62">
        <v>0.2</v>
      </c>
      <c r="I18" s="61" t="s">
        <v>16</v>
      </c>
      <c r="J18" s="62">
        <v>0.01</v>
      </c>
    </row>
    <row r="19" spans="3:16">
      <c r="F19" s="61" t="s">
        <v>64</v>
      </c>
      <c r="G19" s="62">
        <v>0.09</v>
      </c>
      <c r="I19" s="57"/>
      <c r="J19" s="57"/>
    </row>
    <row r="20" spans="3:16">
      <c r="F20" s="61" t="s">
        <v>65</v>
      </c>
      <c r="G20" s="62">
        <v>0.05</v>
      </c>
    </row>
    <row r="21" spans="3:16">
      <c r="F21" s="61" t="s">
        <v>66</v>
      </c>
      <c r="G21" s="62">
        <v>0.15</v>
      </c>
    </row>
    <row r="22" spans="3:16">
      <c r="F22" s="61" t="s">
        <v>67</v>
      </c>
      <c r="G22" s="62">
        <v>2</v>
      </c>
    </row>
    <row r="23" spans="3:16">
      <c r="F23" s="61" t="s">
        <v>68</v>
      </c>
      <c r="G23" s="62">
        <v>80</v>
      </c>
    </row>
    <row r="24" spans="3:16">
      <c r="F24" s="61" t="s">
        <v>69</v>
      </c>
      <c r="G24" s="62">
        <v>1E-4</v>
      </c>
    </row>
    <row r="25" spans="3:16">
      <c r="F25" s="57"/>
      <c r="G25" s="57"/>
    </row>
    <row r="30" spans="3:16">
      <c r="L30" s="54" t="s">
        <v>310</v>
      </c>
      <c r="M30" s="70" t="s">
        <v>311</v>
      </c>
      <c r="N30" s="70" t="s">
        <v>312</v>
      </c>
      <c r="O30" s="70" t="s">
        <v>313</v>
      </c>
      <c r="P30" s="70" t="s">
        <v>314</v>
      </c>
    </row>
    <row r="31" spans="3:16">
      <c r="L31" s="54" t="s">
        <v>255</v>
      </c>
      <c r="M31" s="70">
        <v>1E-3</v>
      </c>
      <c r="N31" s="70">
        <v>0.01</v>
      </c>
      <c r="O31" s="70">
        <v>0.02</v>
      </c>
      <c r="P31" s="70">
        <v>0.05</v>
      </c>
    </row>
    <row r="32" spans="3:16">
      <c r="L32" s="54" t="s">
        <v>262</v>
      </c>
      <c r="M32" s="70">
        <v>0</v>
      </c>
      <c r="N32" s="70">
        <v>0</v>
      </c>
      <c r="O32" s="70">
        <v>0.01</v>
      </c>
      <c r="P32" s="70">
        <v>0.03</v>
      </c>
    </row>
  </sheetData>
  <conditionalFormatting sqref="J10">
    <cfRule type="expression" dxfId="37" priority="12">
      <formula>$J$10&gt;0.055</formula>
    </cfRule>
  </conditionalFormatting>
  <conditionalFormatting sqref="D16">
    <cfRule type="cellIs" dxfId="36" priority="11" operator="equal">
      <formula>1</formula>
    </cfRule>
  </conditionalFormatting>
  <conditionalFormatting sqref="D12">
    <cfRule type="expression" dxfId="35" priority="10">
      <formula>$D$12&lt;20</formula>
    </cfRule>
  </conditionalFormatting>
  <conditionalFormatting sqref="M10">
    <cfRule type="expression" dxfId="34" priority="9">
      <formula>$J$10&gt;0.055</formula>
    </cfRule>
  </conditionalFormatting>
  <conditionalFormatting sqref="N10">
    <cfRule type="expression" dxfId="33" priority="8">
      <formula>$J$10&gt;0.055</formula>
    </cfRule>
  </conditionalFormatting>
  <conditionalFormatting sqref="O10">
    <cfRule type="expression" dxfId="32" priority="7">
      <formula>$J$10&gt;0.055</formula>
    </cfRule>
  </conditionalFormatting>
  <conditionalFormatting sqref="P10">
    <cfRule type="expression" dxfId="31" priority="6">
      <formula>$J$10&gt;0.055</formula>
    </cfRule>
  </conditionalFormatting>
  <conditionalFormatting sqref="M11:P11">
    <cfRule type="expression" dxfId="30" priority="5">
      <formula>$J$10&gt;0.055</formula>
    </cfRule>
  </conditionalFormatting>
  <conditionalFormatting sqref="O11">
    <cfRule type="expression" dxfId="29" priority="3">
      <formula>$J$10&gt;0.055</formula>
    </cfRule>
  </conditionalFormatting>
  <conditionalFormatting sqref="P11">
    <cfRule type="expression" dxfId="28" priority="2">
      <formula>$J$10&gt;0.055</formula>
    </cfRule>
  </conditionalFormatting>
  <conditionalFormatting sqref="N11">
    <cfRule type="expression" dxfId="27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I296"/>
  <sheetViews>
    <sheetView showGridLines="0" showRuler="0" workbookViewId="0">
      <pane ySplit="13860" topLeftCell="A76"/>
      <selection activeCell="C27" sqref="C27"/>
      <selection pane="bottomLeft" activeCell="C27" sqref="C27"/>
    </sheetView>
  </sheetViews>
  <sheetFormatPr baseColWidth="10" defaultRowHeight="16" x14ac:dyDescent="0"/>
  <cols>
    <col min="1" max="1" width="2.140625" style="54" customWidth="1"/>
    <col min="2" max="2" width="29.85546875" style="54" bestFit="1" customWidth="1"/>
    <col min="3" max="3" width="10.7109375" style="54"/>
    <col min="4" max="4" width="8.28515625" style="54" customWidth="1"/>
    <col min="5" max="5" width="14.140625" style="54" bestFit="1" customWidth="1"/>
    <col min="6" max="6" width="7.42578125" style="54" customWidth="1"/>
    <col min="7" max="7" width="10.7109375" style="54"/>
    <col min="8" max="8" width="23.140625" style="54" customWidth="1"/>
    <col min="9" max="9" width="10.7109375" style="54"/>
    <col min="10" max="10" width="9.7109375" style="54" customWidth="1"/>
    <col min="11" max="11" width="16.28515625" style="54" bestFit="1" customWidth="1"/>
    <col min="12" max="13" width="9.7109375" style="54" customWidth="1"/>
    <col min="14" max="14" width="6.28515625" style="54" customWidth="1"/>
    <col min="15" max="16" width="6.140625" style="54" customWidth="1"/>
    <col min="17" max="16384" width="10.7109375" style="54"/>
  </cols>
  <sheetData>
    <row r="1" spans="1:16" s="53" customFormat="1" ht="86" customHeight="1">
      <c r="A1" s="52" t="s">
        <v>34</v>
      </c>
    </row>
    <row r="3" spans="1:16">
      <c r="E3" s="71">
        <v>42185.988530092596</v>
      </c>
      <c r="N3" s="72" t="s">
        <v>316</v>
      </c>
    </row>
    <row r="4" spans="1:16">
      <c r="N4" s="72" t="s">
        <v>317</v>
      </c>
    </row>
    <row r="5" spans="1:16" ht="18">
      <c r="B5" s="56" t="s">
        <v>266</v>
      </c>
      <c r="C5" s="57"/>
      <c r="E5" s="56" t="s">
        <v>265</v>
      </c>
      <c r="F5" s="57"/>
      <c r="H5" s="56" t="s">
        <v>289</v>
      </c>
      <c r="I5" s="57"/>
      <c r="K5" s="56" t="s">
        <v>332</v>
      </c>
      <c r="L5" s="57"/>
      <c r="N5" s="59" t="s">
        <v>315</v>
      </c>
      <c r="O5" s="59"/>
      <c r="P5" s="57"/>
    </row>
    <row r="6" spans="1:16">
      <c r="B6" s="62" t="s">
        <v>104</v>
      </c>
      <c r="C6" s="62">
        <v>0</v>
      </c>
      <c r="E6" s="61" t="s">
        <v>255</v>
      </c>
      <c r="F6" s="62">
        <v>999</v>
      </c>
      <c r="H6" s="61" t="s">
        <v>267</v>
      </c>
      <c r="I6" s="62">
        <v>0.98</v>
      </c>
      <c r="K6" s="61" t="s">
        <v>342</v>
      </c>
      <c r="L6" s="62">
        <v>0.999</v>
      </c>
      <c r="N6" s="73"/>
      <c r="O6" s="73" t="s">
        <v>255</v>
      </c>
      <c r="P6" s="73" t="s">
        <v>262</v>
      </c>
    </row>
    <row r="7" spans="1:16">
      <c r="B7" s="62" t="s">
        <v>105</v>
      </c>
      <c r="C7" s="62">
        <v>0</v>
      </c>
      <c r="E7" s="61" t="s">
        <v>256</v>
      </c>
      <c r="F7" s="62">
        <v>0.7</v>
      </c>
      <c r="H7" s="61" t="s">
        <v>268</v>
      </c>
      <c r="I7" s="62">
        <v>0.1</v>
      </c>
      <c r="K7" s="61" t="s">
        <v>333</v>
      </c>
      <c r="L7" s="74">
        <v>0.2</v>
      </c>
      <c r="N7" s="73" t="s">
        <v>255</v>
      </c>
      <c r="O7" s="75">
        <v>1</v>
      </c>
      <c r="P7" s="75">
        <v>2.5</v>
      </c>
    </row>
    <row r="8" spans="1:16">
      <c r="B8" s="62" t="s">
        <v>106</v>
      </c>
      <c r="C8" s="62">
        <v>0</v>
      </c>
      <c r="E8" s="61" t="s">
        <v>257</v>
      </c>
      <c r="F8" s="62">
        <v>0.5</v>
      </c>
      <c r="H8" s="61" t="s">
        <v>269</v>
      </c>
      <c r="I8" s="62">
        <v>0.7</v>
      </c>
      <c r="K8" s="61" t="s">
        <v>334</v>
      </c>
      <c r="L8" s="62">
        <v>0.999</v>
      </c>
      <c r="N8" s="73" t="s">
        <v>262</v>
      </c>
      <c r="O8" s="75">
        <v>1</v>
      </c>
      <c r="P8" s="75">
        <v>1</v>
      </c>
    </row>
    <row r="9" spans="1:16">
      <c r="B9" s="62" t="s">
        <v>107</v>
      </c>
      <c r="C9" s="62">
        <v>0</v>
      </c>
      <c r="E9" s="61" t="s">
        <v>258</v>
      </c>
      <c r="F9" s="62">
        <v>0.7</v>
      </c>
      <c r="H9" s="61"/>
      <c r="I9" s="62"/>
      <c r="K9" s="61" t="s">
        <v>335</v>
      </c>
      <c r="L9" s="62">
        <v>0.999</v>
      </c>
    </row>
    <row r="10" spans="1:16">
      <c r="B10" s="62" t="s">
        <v>108</v>
      </c>
      <c r="C10" s="62">
        <v>1</v>
      </c>
      <c r="E10" s="61" t="s">
        <v>259</v>
      </c>
      <c r="F10" s="62">
        <v>0.5</v>
      </c>
      <c r="H10" s="61" t="s">
        <v>270</v>
      </c>
      <c r="I10" s="62">
        <v>0.01</v>
      </c>
      <c r="K10" s="61" t="s">
        <v>336</v>
      </c>
      <c r="L10" s="62">
        <v>0.999</v>
      </c>
    </row>
    <row r="11" spans="1:16">
      <c r="B11" s="62" t="s">
        <v>109</v>
      </c>
      <c r="C11" s="62">
        <v>0</v>
      </c>
      <c r="E11" s="61" t="s">
        <v>260</v>
      </c>
      <c r="F11" s="62">
        <v>0.5</v>
      </c>
      <c r="H11" s="61" t="s">
        <v>271</v>
      </c>
      <c r="I11" s="62">
        <v>1E-4</v>
      </c>
      <c r="K11" s="61" t="s">
        <v>337</v>
      </c>
      <c r="L11" s="62">
        <v>0.05</v>
      </c>
    </row>
    <row r="12" spans="1:16">
      <c r="B12" s="62" t="s">
        <v>110</v>
      </c>
      <c r="C12" s="62">
        <v>0</v>
      </c>
      <c r="E12" s="61" t="s">
        <v>261</v>
      </c>
      <c r="F12" s="62">
        <v>0.7</v>
      </c>
      <c r="H12" s="61" t="s">
        <v>272</v>
      </c>
      <c r="I12" s="62">
        <v>0.01</v>
      </c>
      <c r="K12" s="61" t="s">
        <v>338</v>
      </c>
      <c r="L12" s="62">
        <v>0.999</v>
      </c>
    </row>
    <row r="13" spans="1:16">
      <c r="B13" s="62" t="s">
        <v>111</v>
      </c>
      <c r="C13" s="62">
        <v>0</v>
      </c>
      <c r="E13" s="61" t="s">
        <v>262</v>
      </c>
      <c r="F13" s="62">
        <v>0.5</v>
      </c>
      <c r="H13" s="61" t="s">
        <v>273</v>
      </c>
      <c r="I13" s="62">
        <v>0.05</v>
      </c>
      <c r="K13" s="61" t="s">
        <v>339</v>
      </c>
      <c r="L13" s="62">
        <v>0.999</v>
      </c>
    </row>
    <row r="14" spans="1:16">
      <c r="B14" s="62" t="s">
        <v>112</v>
      </c>
      <c r="C14" s="62">
        <v>1</v>
      </c>
      <c r="E14" s="61" t="s">
        <v>263</v>
      </c>
      <c r="F14" s="62">
        <v>0.5</v>
      </c>
      <c r="H14" s="61" t="s">
        <v>274</v>
      </c>
      <c r="I14" s="62">
        <v>0.01</v>
      </c>
      <c r="K14" s="61" t="s">
        <v>340</v>
      </c>
      <c r="L14" s="62">
        <v>0.999</v>
      </c>
    </row>
    <row r="15" spans="1:16">
      <c r="B15" s="62" t="s">
        <v>113</v>
      </c>
      <c r="C15" s="62">
        <v>0</v>
      </c>
      <c r="E15" s="61" t="s">
        <v>264</v>
      </c>
      <c r="F15" s="62">
        <v>1E-4</v>
      </c>
      <c r="H15" s="61" t="s">
        <v>275</v>
      </c>
      <c r="I15" s="62">
        <v>0.01</v>
      </c>
      <c r="K15" s="61" t="s">
        <v>341</v>
      </c>
      <c r="L15" s="62">
        <v>0.999</v>
      </c>
    </row>
    <row r="16" spans="1:16">
      <c r="B16" s="76"/>
      <c r="C16" s="77"/>
      <c r="E16" s="57"/>
      <c r="F16" s="57"/>
      <c r="H16" s="61" t="s">
        <v>276</v>
      </c>
      <c r="I16" s="62">
        <v>0.01</v>
      </c>
      <c r="K16" s="61"/>
      <c r="L16" s="62"/>
    </row>
    <row r="17" spans="2:12">
      <c r="B17" s="61" t="s">
        <v>114</v>
      </c>
      <c r="C17" s="62">
        <v>6</v>
      </c>
      <c r="H17" s="61" t="s">
        <v>277</v>
      </c>
      <c r="I17" s="62">
        <v>0.01</v>
      </c>
      <c r="K17" s="61"/>
      <c r="L17" s="62"/>
    </row>
    <row r="18" spans="2:12">
      <c r="B18" s="61" t="s">
        <v>115</v>
      </c>
      <c r="C18" s="62">
        <v>2</v>
      </c>
      <c r="H18" s="61" t="s">
        <v>278</v>
      </c>
      <c r="I18" s="62">
        <v>0.01</v>
      </c>
      <c r="K18" s="61"/>
      <c r="L18" s="62"/>
    </row>
    <row r="19" spans="2:12">
      <c r="B19" s="61" t="s">
        <v>116</v>
      </c>
      <c r="C19" s="62">
        <v>2</v>
      </c>
      <c r="H19" s="61" t="s">
        <v>279</v>
      </c>
      <c r="I19" s="62">
        <v>0.01</v>
      </c>
      <c r="K19" s="61"/>
      <c r="L19" s="62"/>
    </row>
    <row r="20" spans="2:12">
      <c r="B20" s="61" t="s">
        <v>117</v>
      </c>
      <c r="C20" s="62">
        <v>0.01</v>
      </c>
      <c r="H20" s="61"/>
      <c r="I20" s="62"/>
      <c r="K20" s="61"/>
      <c r="L20" s="62"/>
    </row>
    <row r="21" spans="2:12">
      <c r="B21" s="61" t="s">
        <v>118</v>
      </c>
      <c r="C21" s="62">
        <v>6</v>
      </c>
      <c r="H21" s="61" t="s">
        <v>280</v>
      </c>
      <c r="I21" s="62">
        <v>0.25</v>
      </c>
      <c r="K21" s="61"/>
      <c r="L21" s="62"/>
    </row>
    <row r="22" spans="2:12">
      <c r="B22" s="61" t="s">
        <v>119</v>
      </c>
      <c r="C22" s="62">
        <v>0.4</v>
      </c>
      <c r="H22" s="61" t="s">
        <v>281</v>
      </c>
      <c r="I22" s="62">
        <v>3.0000000000000001E-3</v>
      </c>
      <c r="K22" s="61"/>
      <c r="L22" s="62"/>
    </row>
    <row r="23" spans="2:12">
      <c r="B23" s="61" t="s">
        <v>120</v>
      </c>
      <c r="C23" s="62">
        <v>1</v>
      </c>
      <c r="H23" s="61" t="s">
        <v>282</v>
      </c>
      <c r="I23" s="62">
        <v>0.01</v>
      </c>
      <c r="K23" s="61"/>
      <c r="L23" s="62"/>
    </row>
    <row r="24" spans="2:12">
      <c r="B24" s="61" t="s">
        <v>121</v>
      </c>
      <c r="C24" s="62">
        <v>0.06</v>
      </c>
      <c r="H24" s="61" t="s">
        <v>283</v>
      </c>
      <c r="I24" s="62">
        <v>0.05</v>
      </c>
      <c r="K24" s="61"/>
      <c r="L24" s="62"/>
    </row>
    <row r="25" spans="2:12">
      <c r="B25" s="61" t="s">
        <v>122</v>
      </c>
      <c r="C25" s="62">
        <v>0.1</v>
      </c>
      <c r="H25" s="61" t="s">
        <v>284</v>
      </c>
      <c r="I25" s="62">
        <v>0.01</v>
      </c>
      <c r="K25" s="61"/>
      <c r="L25" s="62"/>
    </row>
    <row r="26" spans="2:12">
      <c r="B26" s="61" t="s">
        <v>123</v>
      </c>
      <c r="C26" s="62">
        <v>999.99</v>
      </c>
      <c r="H26" s="61" t="s">
        <v>285</v>
      </c>
      <c r="I26" s="62">
        <v>0.01</v>
      </c>
      <c r="K26" s="61"/>
      <c r="L26" s="62"/>
    </row>
    <row r="27" spans="2:12">
      <c r="B27" s="61" t="s">
        <v>124</v>
      </c>
      <c r="C27" s="62">
        <v>0</v>
      </c>
      <c r="H27" s="61" t="s">
        <v>286</v>
      </c>
      <c r="I27" s="62">
        <v>0.01</v>
      </c>
      <c r="K27" s="61"/>
      <c r="L27" s="62"/>
    </row>
    <row r="28" spans="2:12">
      <c r="B28" s="61" t="s">
        <v>125</v>
      </c>
      <c r="C28" s="62">
        <v>0</v>
      </c>
      <c r="H28" s="61" t="s">
        <v>287</v>
      </c>
      <c r="I28" s="62">
        <v>0.01</v>
      </c>
      <c r="K28" s="61"/>
      <c r="L28" s="62"/>
    </row>
    <row r="29" spans="2:12">
      <c r="B29" s="61" t="s">
        <v>126</v>
      </c>
      <c r="C29" s="62">
        <v>0.5</v>
      </c>
      <c r="H29" s="61" t="s">
        <v>288</v>
      </c>
      <c r="I29" s="62">
        <v>0.01</v>
      </c>
      <c r="K29" s="61"/>
      <c r="L29" s="62"/>
    </row>
    <row r="30" spans="2:12">
      <c r="B30" s="76"/>
      <c r="C30" s="77"/>
      <c r="H30" s="57"/>
      <c r="I30" s="57"/>
      <c r="K30" s="57"/>
      <c r="L30" s="57"/>
    </row>
    <row r="31" spans="2:12">
      <c r="B31" s="61" t="s">
        <v>127</v>
      </c>
      <c r="C31" s="62">
        <v>0.1</v>
      </c>
    </row>
    <row r="32" spans="2:12">
      <c r="B32" s="61" t="s">
        <v>128</v>
      </c>
      <c r="C32" s="62">
        <v>0.9</v>
      </c>
    </row>
    <row r="33" spans="2:3">
      <c r="B33" s="61" t="s">
        <v>129</v>
      </c>
      <c r="C33" s="62">
        <v>999.99</v>
      </c>
    </row>
    <row r="34" spans="2:3">
      <c r="B34" s="61" t="s">
        <v>130</v>
      </c>
      <c r="C34" s="62">
        <v>0.2</v>
      </c>
    </row>
    <row r="35" spans="2:3">
      <c r="B35" s="61" t="s">
        <v>131</v>
      </c>
      <c r="C35" s="62">
        <v>0.2</v>
      </c>
    </row>
    <row r="36" spans="2:3">
      <c r="B36" s="61" t="s">
        <v>132</v>
      </c>
      <c r="C36" s="62">
        <v>1</v>
      </c>
    </row>
    <row r="37" spans="2:3">
      <c r="B37" s="61" t="s">
        <v>133</v>
      </c>
      <c r="C37" s="62">
        <v>1</v>
      </c>
    </row>
    <row r="38" spans="2:3">
      <c r="B38" s="61" t="s">
        <v>134</v>
      </c>
      <c r="C38" s="62">
        <v>0.2</v>
      </c>
    </row>
    <row r="39" spans="2:3">
      <c r="B39" s="61" t="s">
        <v>135</v>
      </c>
      <c r="C39" s="62">
        <v>12</v>
      </c>
    </row>
    <row r="40" spans="2:3">
      <c r="B40" s="61" t="s">
        <v>136</v>
      </c>
      <c r="C40" s="62">
        <v>0.08</v>
      </c>
    </row>
    <row r="41" spans="2:3">
      <c r="B41" s="61" t="s">
        <v>137</v>
      </c>
      <c r="C41" s="62">
        <v>0.1</v>
      </c>
    </row>
    <row r="42" spans="2:3">
      <c r="B42" s="61" t="s">
        <v>138</v>
      </c>
      <c r="C42" s="62">
        <v>0.8</v>
      </c>
    </row>
    <row r="43" spans="2:3">
      <c r="B43" s="76"/>
      <c r="C43" s="77"/>
    </row>
    <row r="44" spans="2:3">
      <c r="B44" s="61" t="s">
        <v>139</v>
      </c>
      <c r="C44" s="62">
        <v>0.1</v>
      </c>
    </row>
    <row r="45" spans="2:3">
      <c r="B45" s="61" t="s">
        <v>140</v>
      </c>
      <c r="C45" s="62">
        <v>0.9</v>
      </c>
    </row>
    <row r="46" spans="2:3">
      <c r="B46" s="61" t="s">
        <v>141</v>
      </c>
      <c r="C46" s="62">
        <v>1.5</v>
      </c>
    </row>
    <row r="47" spans="2:3">
      <c r="B47" s="61" t="s">
        <v>142</v>
      </c>
      <c r="C47" s="62">
        <v>0.05</v>
      </c>
    </row>
    <row r="48" spans="2:3">
      <c r="B48" s="61" t="s">
        <v>143</v>
      </c>
      <c r="C48" s="62">
        <v>0.05</v>
      </c>
    </row>
    <row r="49" spans="2:3">
      <c r="B49" s="61" t="s">
        <v>144</v>
      </c>
      <c r="C49" s="62">
        <v>16</v>
      </c>
    </row>
    <row r="50" spans="2:3">
      <c r="B50" s="61" t="s">
        <v>145</v>
      </c>
      <c r="C50" s="62">
        <v>32</v>
      </c>
    </row>
    <row r="51" spans="2:3">
      <c r="B51" s="61" t="s">
        <v>146</v>
      </c>
      <c r="C51" s="62">
        <v>0.2</v>
      </c>
    </row>
    <row r="52" spans="2:3">
      <c r="B52" s="61" t="s">
        <v>147</v>
      </c>
      <c r="C52" s="62">
        <v>0.1</v>
      </c>
    </row>
    <row r="53" spans="2:3">
      <c r="B53" s="61" t="s">
        <v>148</v>
      </c>
      <c r="C53" s="62">
        <v>0.7</v>
      </c>
    </row>
    <row r="54" spans="2:3">
      <c r="B54" s="76"/>
      <c r="C54" s="77"/>
    </row>
    <row r="55" spans="2:3">
      <c r="B55" s="61" t="s">
        <v>149</v>
      </c>
      <c r="C55" s="62">
        <v>0.2</v>
      </c>
    </row>
    <row r="56" spans="2:3">
      <c r="B56" s="61" t="s">
        <v>150</v>
      </c>
      <c r="C56" s="62">
        <v>0.9</v>
      </c>
    </row>
    <row r="57" spans="2:3">
      <c r="B57" s="61" t="s">
        <v>151</v>
      </c>
      <c r="C57" s="62">
        <v>1</v>
      </c>
    </row>
    <row r="58" spans="2:3">
      <c r="B58" s="61" t="s">
        <v>152</v>
      </c>
      <c r="C58" s="62">
        <v>0.2</v>
      </c>
    </row>
    <row r="59" spans="2:3">
      <c r="B59" s="61" t="s">
        <v>153</v>
      </c>
      <c r="C59" s="62">
        <v>0.2</v>
      </c>
    </row>
    <row r="60" spans="2:3">
      <c r="B60" s="61" t="s">
        <v>154</v>
      </c>
      <c r="C60" s="62">
        <v>3</v>
      </c>
    </row>
    <row r="61" spans="2:3">
      <c r="B61" s="61" t="s">
        <v>155</v>
      </c>
      <c r="C61" s="62">
        <v>39</v>
      </c>
    </row>
    <row r="62" spans="2:3">
      <c r="B62" s="61" t="s">
        <v>156</v>
      </c>
      <c r="C62" s="62">
        <v>4</v>
      </c>
    </row>
    <row r="63" spans="2:3">
      <c r="B63" s="61" t="s">
        <v>157</v>
      </c>
      <c r="C63" s="62">
        <v>1.5</v>
      </c>
    </row>
    <row r="64" spans="2:3">
      <c r="B64" s="61" t="s">
        <v>158</v>
      </c>
      <c r="C64" s="62">
        <v>4</v>
      </c>
    </row>
    <row r="65" spans="2:3">
      <c r="B65" s="61" t="s">
        <v>159</v>
      </c>
      <c r="C65" s="62">
        <v>1.1000000000000001</v>
      </c>
    </row>
    <row r="66" spans="2:3">
      <c r="B66" s="61" t="s">
        <v>160</v>
      </c>
      <c r="C66" s="62">
        <v>1.8</v>
      </c>
    </row>
    <row r="67" spans="2:3">
      <c r="B67" s="61" t="s">
        <v>161</v>
      </c>
      <c r="C67" s="62">
        <v>0</v>
      </c>
    </row>
    <row r="68" spans="2:3">
      <c r="B68" s="61" t="s">
        <v>162</v>
      </c>
      <c r="C68" s="62">
        <v>1</v>
      </c>
    </row>
    <row r="69" spans="2:3">
      <c r="B69" s="76"/>
      <c r="C69" s="77"/>
    </row>
    <row r="70" spans="2:3">
      <c r="B70" s="61" t="s">
        <v>163</v>
      </c>
      <c r="C70" s="62">
        <v>0.49</v>
      </c>
    </row>
    <row r="71" spans="2:3">
      <c r="B71" s="61" t="s">
        <v>164</v>
      </c>
      <c r="C71" s="62">
        <v>0.9</v>
      </c>
    </row>
    <row r="72" spans="2:3">
      <c r="B72" s="61" t="s">
        <v>165</v>
      </c>
      <c r="C72" s="62">
        <v>1</v>
      </c>
    </row>
    <row r="73" spans="2:3">
      <c r="B73" s="61" t="s">
        <v>166</v>
      </c>
      <c r="C73" s="62">
        <v>0.3</v>
      </c>
    </row>
    <row r="74" spans="2:3">
      <c r="B74" s="61" t="s">
        <v>167</v>
      </c>
      <c r="C74" s="62">
        <v>0.7</v>
      </c>
    </row>
    <row r="75" spans="2:3">
      <c r="B75" s="61" t="s">
        <v>168</v>
      </c>
      <c r="C75" s="62">
        <v>2</v>
      </c>
    </row>
    <row r="76" spans="2:3">
      <c r="B76" s="61" t="s">
        <v>169</v>
      </c>
      <c r="C76" s="62">
        <v>20</v>
      </c>
    </row>
    <row r="77" spans="2:3">
      <c r="B77" s="61" t="s">
        <v>170</v>
      </c>
      <c r="C77" s="62">
        <v>0</v>
      </c>
    </row>
    <row r="78" spans="2:3">
      <c r="B78" s="61" t="s">
        <v>171</v>
      </c>
      <c r="C78" s="62">
        <v>1.5</v>
      </c>
    </row>
    <row r="79" spans="2:3">
      <c r="B79" s="61" t="s">
        <v>172</v>
      </c>
      <c r="C79" s="62">
        <v>4</v>
      </c>
    </row>
    <row r="80" spans="2:3">
      <c r="B80" s="61" t="s">
        <v>173</v>
      </c>
      <c r="C80" s="62">
        <v>1</v>
      </c>
    </row>
    <row r="81" spans="2:35">
      <c r="B81" s="76"/>
      <c r="C81" s="77"/>
    </row>
    <row r="82" spans="2:35">
      <c r="B82" s="61" t="s">
        <v>174</v>
      </c>
      <c r="C82" s="74">
        <v>0.4</v>
      </c>
      <c r="D82" s="70">
        <v>0.85</v>
      </c>
    </row>
    <row r="83" spans="2:35">
      <c r="B83" s="61" t="s">
        <v>175</v>
      </c>
      <c r="C83" s="62">
        <v>0.9</v>
      </c>
      <c r="D83" s="70">
        <v>0.9</v>
      </c>
      <c r="AE83" s="54" t="s">
        <v>321</v>
      </c>
      <c r="AF83" s="54" t="s">
        <v>318</v>
      </c>
      <c r="AG83" s="54" t="s">
        <v>319</v>
      </c>
      <c r="AH83" s="54" t="s">
        <v>320</v>
      </c>
      <c r="AI83" s="54" t="s">
        <v>322</v>
      </c>
    </row>
    <row r="84" spans="2:35">
      <c r="B84" s="61" t="s">
        <v>176</v>
      </c>
      <c r="C84" s="62">
        <v>1</v>
      </c>
      <c r="D84" s="70">
        <v>1</v>
      </c>
      <c r="AD84" s="54">
        <v>0</v>
      </c>
      <c r="AE84" s="54">
        <f>SUM(AF84:AH84)</f>
        <v>0</v>
      </c>
      <c r="AF84" s="54">
        <f t="shared" ref="AF84:AF115" si="0">MAX(0,pseudoBeta(MAX(0,AD84-$C$89/52)/$C$92*52,$C$100,$C$101))*$C$97</f>
        <v>0</v>
      </c>
      <c r="AG84" s="54">
        <f>MAX(0,pseudoBeta(MAX(0,AD84-$C$90/52)/$C$93*52,$C$102,$C$103))*$C$98</f>
        <v>0</v>
      </c>
      <c r="AH84" s="54">
        <f>MAX(0,pseudoBeta(MAX(0,AD84-$C$91/52)/$C$95*52,$C$106,$C$107))*$C$99</f>
        <v>0</v>
      </c>
      <c r="AI84" s="54">
        <f>MAX(0,pseudoBeta(MAX(0,AD84-$C$90/52)/$C$94*52,$C$104,$C$105))</f>
        <v>0</v>
      </c>
    </row>
    <row r="85" spans="2:35">
      <c r="B85" s="61" t="s">
        <v>177</v>
      </c>
      <c r="C85" s="62">
        <v>0.15</v>
      </c>
      <c r="D85" s="70">
        <v>0.15</v>
      </c>
      <c r="AD85" s="78">
        <f>AD84+1/100</f>
        <v>0.01</v>
      </c>
      <c r="AE85" s="54">
        <f t="shared" ref="AE85:AE125" si="1">SUM(AF85:AH85)</f>
        <v>0</v>
      </c>
      <c r="AF85" s="54">
        <f t="shared" si="0"/>
        <v>0</v>
      </c>
      <c r="AG85" s="54">
        <f t="shared" ref="AG85:AG115" si="2">MAX(0,pseudoBeta(MAX(0,AD85-$C$90/52)/$C$93*52,$C$102,$C$103))*$C$98</f>
        <v>0</v>
      </c>
      <c r="AH85" s="54">
        <f t="shared" ref="AH85:AH125" si="3">MAX(0,pseudoBeta(MAX(0,AD85-$C$91/52)/$C$95*52,$C$106,$C$107))*$C$99</f>
        <v>0</v>
      </c>
      <c r="AI85" s="54">
        <f t="shared" ref="AI85:AI148" si="4">MAX(0,pseudoBeta(MAX(0,AD85-$C$90/52)/$C$94*52,$C$104,$C$105))</f>
        <v>0</v>
      </c>
    </row>
    <row r="86" spans="2:35">
      <c r="B86" s="61" t="s">
        <v>178</v>
      </c>
      <c r="C86" s="62">
        <v>0.15</v>
      </c>
      <c r="D86" s="70">
        <v>0.15</v>
      </c>
      <c r="AD86" s="78">
        <f t="shared" ref="AD86:AD125" si="5">AD85+1/100</f>
        <v>0.02</v>
      </c>
      <c r="AE86" s="54">
        <f t="shared" si="1"/>
        <v>0</v>
      </c>
      <c r="AF86" s="54">
        <f t="shared" si="0"/>
        <v>0</v>
      </c>
      <c r="AG86" s="54">
        <f t="shared" si="2"/>
        <v>0</v>
      </c>
      <c r="AH86" s="54">
        <f t="shared" si="3"/>
        <v>0</v>
      </c>
      <c r="AI86" s="54">
        <f t="shared" si="4"/>
        <v>0</v>
      </c>
    </row>
    <row r="87" spans="2:35">
      <c r="B87" s="61" t="s">
        <v>179</v>
      </c>
      <c r="C87" s="62">
        <v>0.85</v>
      </c>
      <c r="D87" s="70">
        <v>0.85</v>
      </c>
      <c r="AD87" s="78">
        <f t="shared" si="5"/>
        <v>0.03</v>
      </c>
      <c r="AE87" s="54">
        <f t="shared" si="1"/>
        <v>0</v>
      </c>
      <c r="AF87" s="54">
        <f t="shared" si="0"/>
        <v>0</v>
      </c>
      <c r="AG87" s="54">
        <f t="shared" si="2"/>
        <v>0</v>
      </c>
      <c r="AH87" s="54">
        <f t="shared" si="3"/>
        <v>0</v>
      </c>
      <c r="AI87" s="54">
        <f t="shared" si="4"/>
        <v>0</v>
      </c>
    </row>
    <row r="88" spans="2:35">
      <c r="B88" s="61" t="s">
        <v>180</v>
      </c>
      <c r="C88" s="62">
        <v>0.2</v>
      </c>
      <c r="D88" s="70">
        <v>0.2</v>
      </c>
      <c r="AD88" s="78">
        <f t="shared" si="5"/>
        <v>0.04</v>
      </c>
      <c r="AE88" s="54">
        <f t="shared" si="1"/>
        <v>0</v>
      </c>
      <c r="AF88" s="54">
        <f t="shared" si="0"/>
        <v>0</v>
      </c>
      <c r="AG88" s="54">
        <f t="shared" si="2"/>
        <v>0</v>
      </c>
      <c r="AH88" s="54">
        <f t="shared" si="3"/>
        <v>0</v>
      </c>
      <c r="AI88" s="54">
        <f t="shared" si="4"/>
        <v>0</v>
      </c>
    </row>
    <row r="89" spans="2:35">
      <c r="B89" s="64" t="s">
        <v>181</v>
      </c>
      <c r="C89" s="65">
        <v>4</v>
      </c>
      <c r="D89" s="70">
        <v>4</v>
      </c>
      <c r="AD89" s="78">
        <f t="shared" si="5"/>
        <v>0.05</v>
      </c>
      <c r="AE89" s="54">
        <f t="shared" si="1"/>
        <v>0</v>
      </c>
      <c r="AF89" s="54">
        <f t="shared" si="0"/>
        <v>0</v>
      </c>
      <c r="AG89" s="54">
        <f t="shared" si="2"/>
        <v>0</v>
      </c>
      <c r="AH89" s="54">
        <f t="shared" si="3"/>
        <v>0</v>
      </c>
      <c r="AI89" s="54">
        <f t="shared" si="4"/>
        <v>0</v>
      </c>
    </row>
    <row r="90" spans="2:35">
      <c r="B90" s="68" t="s">
        <v>182</v>
      </c>
      <c r="C90" s="69">
        <v>16</v>
      </c>
      <c r="D90" s="70">
        <v>16</v>
      </c>
      <c r="AD90" s="78">
        <f t="shared" si="5"/>
        <v>6.0000000000000005E-2</v>
      </c>
      <c r="AE90" s="54">
        <f t="shared" si="1"/>
        <v>0</v>
      </c>
      <c r="AF90" s="54">
        <f t="shared" si="0"/>
        <v>0</v>
      </c>
      <c r="AG90" s="54">
        <f t="shared" si="2"/>
        <v>0</v>
      </c>
      <c r="AH90" s="54">
        <f t="shared" si="3"/>
        <v>0</v>
      </c>
      <c r="AI90" s="54">
        <f t="shared" si="4"/>
        <v>0</v>
      </c>
    </row>
    <row r="91" spans="2:35">
      <c r="B91" s="66" t="s">
        <v>183</v>
      </c>
      <c r="C91" s="67">
        <v>52</v>
      </c>
      <c r="D91" s="70">
        <v>52</v>
      </c>
      <c r="AD91" s="78">
        <f t="shared" si="5"/>
        <v>7.0000000000000007E-2</v>
      </c>
      <c r="AE91" s="54">
        <f t="shared" si="1"/>
        <v>0</v>
      </c>
      <c r="AF91" s="54">
        <f t="shared" si="0"/>
        <v>0</v>
      </c>
      <c r="AG91" s="54">
        <f t="shared" si="2"/>
        <v>0</v>
      </c>
      <c r="AH91" s="54">
        <f t="shared" si="3"/>
        <v>0</v>
      </c>
      <c r="AI91" s="54">
        <f t="shared" si="4"/>
        <v>0</v>
      </c>
    </row>
    <row r="92" spans="2:35">
      <c r="B92" s="64" t="s">
        <v>184</v>
      </c>
      <c r="C92" s="65">
        <v>6</v>
      </c>
      <c r="D92" s="70">
        <v>5</v>
      </c>
      <c r="AD92" s="78">
        <f t="shared" si="5"/>
        <v>0.08</v>
      </c>
      <c r="AE92" s="54">
        <f t="shared" si="1"/>
        <v>0.69495764555637418</v>
      </c>
      <c r="AF92" s="54">
        <f t="shared" si="0"/>
        <v>0.69495764555637418</v>
      </c>
      <c r="AG92" s="54">
        <f t="shared" si="2"/>
        <v>0</v>
      </c>
      <c r="AH92" s="54">
        <f t="shared" si="3"/>
        <v>0</v>
      </c>
      <c r="AI92" s="54">
        <f t="shared" si="4"/>
        <v>0</v>
      </c>
    </row>
    <row r="93" spans="2:35">
      <c r="B93" s="68" t="s">
        <v>185</v>
      </c>
      <c r="C93" s="69">
        <v>10</v>
      </c>
      <c r="D93" s="70">
        <v>10</v>
      </c>
      <c r="AD93" s="78">
        <f t="shared" si="5"/>
        <v>0.09</v>
      </c>
      <c r="AE93" s="54">
        <f t="shared" si="1"/>
        <v>0.68057590422981817</v>
      </c>
      <c r="AF93" s="54">
        <f t="shared" si="0"/>
        <v>0.68057590422981817</v>
      </c>
      <c r="AG93" s="54">
        <f t="shared" si="2"/>
        <v>0</v>
      </c>
      <c r="AH93" s="54">
        <f t="shared" si="3"/>
        <v>0</v>
      </c>
      <c r="AI93" s="54">
        <f t="shared" si="4"/>
        <v>0</v>
      </c>
    </row>
    <row r="94" spans="2:35">
      <c r="B94" s="68" t="s">
        <v>186</v>
      </c>
      <c r="C94" s="69">
        <v>10</v>
      </c>
      <c r="D94" s="70">
        <v>10</v>
      </c>
      <c r="AD94" s="78">
        <f t="shared" si="5"/>
        <v>9.9999999999999992E-2</v>
      </c>
      <c r="AE94" s="54">
        <f t="shared" si="1"/>
        <v>0.63174205762245939</v>
      </c>
      <c r="AF94" s="54">
        <f t="shared" si="0"/>
        <v>0.63174205762245939</v>
      </c>
      <c r="AG94" s="54">
        <f t="shared" si="2"/>
        <v>0</v>
      </c>
      <c r="AH94" s="54">
        <f t="shared" si="3"/>
        <v>0</v>
      </c>
      <c r="AI94" s="54">
        <f t="shared" si="4"/>
        <v>0</v>
      </c>
    </row>
    <row r="95" spans="2:35">
      <c r="B95" s="66" t="s">
        <v>187</v>
      </c>
      <c r="C95" s="67">
        <v>10</v>
      </c>
      <c r="D95" s="70">
        <v>10</v>
      </c>
      <c r="AD95" s="78">
        <f t="shared" si="5"/>
        <v>0.10999999999999999</v>
      </c>
      <c r="AE95" s="54">
        <f t="shared" si="1"/>
        <v>0.57353467828513638</v>
      </c>
      <c r="AF95" s="54">
        <f t="shared" si="0"/>
        <v>0.57353467828513638</v>
      </c>
      <c r="AG95" s="54">
        <f t="shared" si="2"/>
        <v>0</v>
      </c>
      <c r="AH95" s="54">
        <f t="shared" si="3"/>
        <v>0</v>
      </c>
      <c r="AI95" s="54">
        <f t="shared" si="4"/>
        <v>0</v>
      </c>
    </row>
    <row r="96" spans="2:35">
      <c r="B96" s="61" t="s">
        <v>188</v>
      </c>
      <c r="C96" s="62">
        <v>0.05</v>
      </c>
      <c r="D96" s="70">
        <v>0.05</v>
      </c>
      <c r="AD96" s="78">
        <f t="shared" si="5"/>
        <v>0.11999999999999998</v>
      </c>
      <c r="AE96" s="54">
        <f t="shared" si="1"/>
        <v>0.51055171192968529</v>
      </c>
      <c r="AF96" s="54">
        <f t="shared" si="0"/>
        <v>0.51055171192968529</v>
      </c>
      <c r="AG96" s="54">
        <f t="shared" si="2"/>
        <v>0</v>
      </c>
      <c r="AH96" s="54">
        <f t="shared" si="3"/>
        <v>0</v>
      </c>
      <c r="AI96" s="54">
        <f t="shared" si="4"/>
        <v>0</v>
      </c>
    </row>
    <row r="97" spans="2:35">
      <c r="B97" s="64" t="s">
        <v>189</v>
      </c>
      <c r="C97" s="65">
        <v>0.7</v>
      </c>
      <c r="D97" s="70">
        <v>0.7</v>
      </c>
      <c r="AD97" s="78">
        <f t="shared" si="5"/>
        <v>0.12999999999999998</v>
      </c>
      <c r="AE97" s="54">
        <f t="shared" si="1"/>
        <v>0.44455956132111196</v>
      </c>
      <c r="AF97" s="54">
        <f t="shared" si="0"/>
        <v>0.44455956132111196</v>
      </c>
      <c r="AG97" s="54">
        <f t="shared" si="2"/>
        <v>0</v>
      </c>
      <c r="AH97" s="54">
        <f t="shared" si="3"/>
        <v>0</v>
      </c>
      <c r="AI97" s="54">
        <f t="shared" si="4"/>
        <v>0</v>
      </c>
    </row>
    <row r="98" spans="2:35">
      <c r="B98" s="68" t="s">
        <v>190</v>
      </c>
      <c r="C98" s="69">
        <v>0.7</v>
      </c>
      <c r="D98" s="70">
        <v>0.7</v>
      </c>
      <c r="AD98" s="78">
        <f t="shared" si="5"/>
        <v>0.13999999999999999</v>
      </c>
      <c r="AE98" s="54">
        <f t="shared" si="1"/>
        <v>0.37644548019569085</v>
      </c>
      <c r="AF98" s="54">
        <f t="shared" si="0"/>
        <v>0.37644548019569085</v>
      </c>
      <c r="AG98" s="54">
        <f t="shared" si="2"/>
        <v>0</v>
      </c>
      <c r="AH98" s="54">
        <f t="shared" si="3"/>
        <v>0</v>
      </c>
      <c r="AI98" s="54">
        <f t="shared" si="4"/>
        <v>0</v>
      </c>
    </row>
    <row r="99" spans="2:35">
      <c r="B99" s="66" t="s">
        <v>191</v>
      </c>
      <c r="C99" s="67">
        <v>0.5</v>
      </c>
      <c r="D99" s="70">
        <v>0.5</v>
      </c>
      <c r="AD99" s="78">
        <f t="shared" si="5"/>
        <v>0.15</v>
      </c>
      <c r="AE99" s="54">
        <f t="shared" si="1"/>
        <v>0.30672653713569697</v>
      </c>
      <c r="AF99" s="54">
        <f t="shared" si="0"/>
        <v>0.30672653713569697</v>
      </c>
      <c r="AG99" s="54">
        <f t="shared" si="2"/>
        <v>0</v>
      </c>
      <c r="AH99" s="54">
        <f t="shared" si="3"/>
        <v>0</v>
      </c>
      <c r="AI99" s="54">
        <f t="shared" si="4"/>
        <v>0</v>
      </c>
    </row>
    <row r="100" spans="2:35">
      <c r="B100" s="61" t="s">
        <v>192</v>
      </c>
      <c r="C100" s="62">
        <v>1.05</v>
      </c>
      <c r="D100" s="70">
        <v>1.5</v>
      </c>
      <c r="AD100" s="78">
        <f t="shared" si="5"/>
        <v>0.16</v>
      </c>
      <c r="AE100" s="54">
        <f t="shared" si="1"/>
        <v>0.23573439868119661</v>
      </c>
      <c r="AF100" s="54">
        <f t="shared" si="0"/>
        <v>0.23573439868119661</v>
      </c>
      <c r="AG100" s="54">
        <f t="shared" si="2"/>
        <v>0</v>
      </c>
      <c r="AH100" s="54">
        <f t="shared" si="3"/>
        <v>0</v>
      </c>
      <c r="AI100" s="54">
        <f t="shared" si="4"/>
        <v>0</v>
      </c>
    </row>
    <row r="101" spans="2:35">
      <c r="B101" s="61" t="s">
        <v>193</v>
      </c>
      <c r="C101" s="62">
        <v>2</v>
      </c>
      <c r="D101" s="70">
        <v>4</v>
      </c>
      <c r="AD101" s="78">
        <f t="shared" si="5"/>
        <v>0.17</v>
      </c>
      <c r="AE101" s="54">
        <f t="shared" si="1"/>
        <v>0.16369663357475323</v>
      </c>
      <c r="AF101" s="54">
        <f t="shared" si="0"/>
        <v>0.16369663357475323</v>
      </c>
      <c r="AG101" s="54">
        <f t="shared" si="2"/>
        <v>0</v>
      </c>
      <c r="AH101" s="54">
        <f t="shared" si="3"/>
        <v>0</v>
      </c>
      <c r="AI101" s="54">
        <f t="shared" si="4"/>
        <v>0</v>
      </c>
    </row>
    <row r="102" spans="2:35">
      <c r="B102" s="61" t="s">
        <v>194</v>
      </c>
      <c r="C102" s="62">
        <v>1.5</v>
      </c>
      <c r="D102" s="70">
        <v>1.5</v>
      </c>
      <c r="AD102" s="78">
        <f t="shared" si="5"/>
        <v>0.18000000000000002</v>
      </c>
      <c r="AE102" s="54">
        <f t="shared" si="1"/>
        <v>9.0777392609525984E-2</v>
      </c>
      <c r="AF102" s="54">
        <f t="shared" si="0"/>
        <v>9.0777392609525984E-2</v>
      </c>
      <c r="AG102" s="54">
        <f t="shared" si="2"/>
        <v>0</v>
      </c>
      <c r="AH102" s="54">
        <f t="shared" si="3"/>
        <v>0</v>
      </c>
      <c r="AI102" s="54">
        <f t="shared" si="4"/>
        <v>0</v>
      </c>
    </row>
    <row r="103" spans="2:35">
      <c r="B103" s="61" t="s">
        <v>195</v>
      </c>
      <c r="C103" s="62">
        <v>4</v>
      </c>
      <c r="D103" s="70">
        <v>4</v>
      </c>
      <c r="AD103" s="78">
        <f t="shared" si="5"/>
        <v>0.19000000000000003</v>
      </c>
      <c r="AE103" s="54">
        <f t="shared" si="1"/>
        <v>1.7099743789137211E-2</v>
      </c>
      <c r="AF103" s="54">
        <f t="shared" si="0"/>
        <v>1.7099743789137211E-2</v>
      </c>
      <c r="AG103" s="54">
        <f t="shared" si="2"/>
        <v>0</v>
      </c>
      <c r="AH103" s="54">
        <f t="shared" si="3"/>
        <v>0</v>
      </c>
      <c r="AI103" s="54">
        <f t="shared" si="4"/>
        <v>0</v>
      </c>
    </row>
    <row r="104" spans="2:35">
      <c r="B104" s="61" t="s">
        <v>196</v>
      </c>
      <c r="C104" s="62">
        <v>1.1000000000000001</v>
      </c>
      <c r="D104" s="70">
        <v>1.1000000000000001</v>
      </c>
      <c r="AD104" s="78">
        <f t="shared" si="5"/>
        <v>0.20000000000000004</v>
      </c>
      <c r="AE104" s="54">
        <f t="shared" si="1"/>
        <v>0</v>
      </c>
      <c r="AF104" s="54">
        <f t="shared" si="0"/>
        <v>0</v>
      </c>
      <c r="AG104" s="54">
        <f t="shared" si="2"/>
        <v>0</v>
      </c>
      <c r="AH104" s="54">
        <f t="shared" si="3"/>
        <v>0</v>
      </c>
      <c r="AI104" s="54">
        <f t="shared" si="4"/>
        <v>0</v>
      </c>
    </row>
    <row r="105" spans="2:35">
      <c r="B105" s="61" t="s">
        <v>197</v>
      </c>
      <c r="C105" s="62">
        <v>1.8</v>
      </c>
      <c r="D105" s="70">
        <v>1.8</v>
      </c>
      <c r="AD105" s="78">
        <f t="shared" si="5"/>
        <v>0.21000000000000005</v>
      </c>
      <c r="AE105" s="54">
        <f t="shared" si="1"/>
        <v>0</v>
      </c>
      <c r="AF105" s="54">
        <f t="shared" si="0"/>
        <v>0</v>
      </c>
      <c r="AG105" s="54">
        <f t="shared" si="2"/>
        <v>0</v>
      </c>
      <c r="AH105" s="54">
        <f t="shared" si="3"/>
        <v>0</v>
      </c>
      <c r="AI105" s="54">
        <f t="shared" si="4"/>
        <v>0</v>
      </c>
    </row>
    <row r="106" spans="2:35">
      <c r="B106" s="61" t="s">
        <v>198</v>
      </c>
      <c r="C106" s="62">
        <v>1.5</v>
      </c>
      <c r="D106" s="70">
        <v>1.5</v>
      </c>
      <c r="AD106" s="78">
        <f t="shared" si="5"/>
        <v>0.22000000000000006</v>
      </c>
      <c r="AE106" s="54">
        <f t="shared" si="1"/>
        <v>0</v>
      </c>
      <c r="AF106" s="54">
        <f t="shared" si="0"/>
        <v>0</v>
      </c>
      <c r="AG106" s="54">
        <f t="shared" si="2"/>
        <v>0</v>
      </c>
      <c r="AH106" s="54">
        <f t="shared" si="3"/>
        <v>0</v>
      </c>
      <c r="AI106" s="54">
        <f t="shared" si="4"/>
        <v>0</v>
      </c>
    </row>
    <row r="107" spans="2:35">
      <c r="B107" s="61" t="s">
        <v>199</v>
      </c>
      <c r="C107" s="62">
        <v>4</v>
      </c>
      <c r="D107" s="70">
        <v>4</v>
      </c>
      <c r="AD107" s="78">
        <f t="shared" si="5"/>
        <v>0.23000000000000007</v>
      </c>
      <c r="AE107" s="54">
        <f t="shared" si="1"/>
        <v>0</v>
      </c>
      <c r="AF107" s="54">
        <f t="shared" si="0"/>
        <v>0</v>
      </c>
      <c r="AG107" s="54">
        <f t="shared" si="2"/>
        <v>0</v>
      </c>
      <c r="AH107" s="54">
        <f t="shared" si="3"/>
        <v>0</v>
      </c>
      <c r="AI107" s="54">
        <f t="shared" si="4"/>
        <v>0</v>
      </c>
    </row>
    <row r="108" spans="2:35">
      <c r="B108" s="61" t="s">
        <v>200</v>
      </c>
      <c r="C108" s="62">
        <v>1</v>
      </c>
      <c r="D108" s="70">
        <v>1</v>
      </c>
      <c r="AD108" s="78">
        <f t="shared" si="5"/>
        <v>0.24000000000000007</v>
      </c>
      <c r="AE108" s="54">
        <f t="shared" si="1"/>
        <v>0</v>
      </c>
      <c r="AF108" s="54">
        <f t="shared" si="0"/>
        <v>0</v>
      </c>
      <c r="AG108" s="54">
        <f t="shared" si="2"/>
        <v>0</v>
      </c>
      <c r="AH108" s="54">
        <f t="shared" si="3"/>
        <v>0</v>
      </c>
      <c r="AI108" s="54">
        <f t="shared" si="4"/>
        <v>0</v>
      </c>
    </row>
    <row r="109" spans="2:35">
      <c r="B109" s="76"/>
      <c r="C109" s="77"/>
      <c r="AD109" s="78">
        <f t="shared" si="5"/>
        <v>0.25000000000000006</v>
      </c>
      <c r="AE109" s="54">
        <f t="shared" si="1"/>
        <v>0</v>
      </c>
      <c r="AF109" s="54">
        <f t="shared" si="0"/>
        <v>0</v>
      </c>
      <c r="AG109" s="54">
        <f t="shared" si="2"/>
        <v>0</v>
      </c>
      <c r="AH109" s="54">
        <f t="shared" si="3"/>
        <v>0</v>
      </c>
      <c r="AI109" s="54">
        <f t="shared" si="4"/>
        <v>0</v>
      </c>
    </row>
    <row r="110" spans="2:35">
      <c r="B110" s="61" t="s">
        <v>201</v>
      </c>
      <c r="C110" s="62">
        <v>0.5</v>
      </c>
      <c r="AD110" s="78">
        <f t="shared" si="5"/>
        <v>0.26000000000000006</v>
      </c>
      <c r="AE110" s="54">
        <f t="shared" si="1"/>
        <v>0</v>
      </c>
      <c r="AF110" s="54">
        <f t="shared" si="0"/>
        <v>0</v>
      </c>
      <c r="AG110" s="54">
        <f t="shared" si="2"/>
        <v>0</v>
      </c>
      <c r="AH110" s="54">
        <f t="shared" si="3"/>
        <v>0</v>
      </c>
      <c r="AI110" s="54">
        <f t="shared" si="4"/>
        <v>0</v>
      </c>
    </row>
    <row r="111" spans="2:35">
      <c r="B111" s="61" t="s">
        <v>202</v>
      </c>
      <c r="C111" s="62">
        <v>0.9</v>
      </c>
      <c r="AD111" s="78">
        <f t="shared" si="5"/>
        <v>0.27000000000000007</v>
      </c>
      <c r="AE111" s="54">
        <f t="shared" si="1"/>
        <v>0</v>
      </c>
      <c r="AF111" s="54">
        <f t="shared" si="0"/>
        <v>0</v>
      </c>
      <c r="AG111" s="54">
        <f t="shared" si="2"/>
        <v>0</v>
      </c>
      <c r="AH111" s="54">
        <f t="shared" si="3"/>
        <v>0</v>
      </c>
      <c r="AI111" s="54">
        <f t="shared" si="4"/>
        <v>0</v>
      </c>
    </row>
    <row r="112" spans="2:35">
      <c r="B112" s="61" t="s">
        <v>203</v>
      </c>
      <c r="C112" s="62">
        <v>0.5</v>
      </c>
      <c r="AD112" s="78">
        <f t="shared" si="5"/>
        <v>0.28000000000000008</v>
      </c>
      <c r="AE112" s="54">
        <f t="shared" si="1"/>
        <v>0</v>
      </c>
      <c r="AF112" s="54">
        <f t="shared" si="0"/>
        <v>0</v>
      </c>
      <c r="AG112" s="54">
        <f t="shared" si="2"/>
        <v>0</v>
      </c>
      <c r="AH112" s="54">
        <f t="shared" si="3"/>
        <v>0</v>
      </c>
      <c r="AI112" s="54">
        <f t="shared" si="4"/>
        <v>0</v>
      </c>
    </row>
    <row r="113" spans="2:35">
      <c r="B113" s="61" t="s">
        <v>204</v>
      </c>
      <c r="C113" s="62">
        <v>0.5</v>
      </c>
      <c r="AD113" s="78">
        <f t="shared" si="5"/>
        <v>0.29000000000000009</v>
      </c>
      <c r="AE113" s="54">
        <f t="shared" si="1"/>
        <v>0</v>
      </c>
      <c r="AF113" s="54">
        <f t="shared" si="0"/>
        <v>0</v>
      </c>
      <c r="AG113" s="54">
        <f t="shared" si="2"/>
        <v>0</v>
      </c>
      <c r="AH113" s="54">
        <f t="shared" si="3"/>
        <v>0</v>
      </c>
      <c r="AI113" s="54">
        <f t="shared" si="4"/>
        <v>0</v>
      </c>
    </row>
    <row r="114" spans="2:35">
      <c r="B114" s="61" t="s">
        <v>205</v>
      </c>
      <c r="C114" s="62">
        <v>0.9</v>
      </c>
      <c r="AD114" s="78">
        <f t="shared" si="5"/>
        <v>0.3000000000000001</v>
      </c>
      <c r="AE114" s="54">
        <f t="shared" si="1"/>
        <v>0</v>
      </c>
      <c r="AF114" s="54">
        <f t="shared" si="0"/>
        <v>0</v>
      </c>
      <c r="AG114" s="54">
        <f t="shared" si="2"/>
        <v>0</v>
      </c>
      <c r="AH114" s="54">
        <f t="shared" si="3"/>
        <v>0</v>
      </c>
      <c r="AI114" s="54">
        <f t="shared" si="4"/>
        <v>0</v>
      </c>
    </row>
    <row r="115" spans="2:35">
      <c r="B115" s="61" t="s">
        <v>206</v>
      </c>
      <c r="C115" s="62">
        <v>1</v>
      </c>
      <c r="AD115" s="78">
        <f t="shared" si="5"/>
        <v>0.31000000000000011</v>
      </c>
      <c r="AE115" s="54">
        <f t="shared" si="1"/>
        <v>0.31070546039976205</v>
      </c>
      <c r="AF115" s="54">
        <f t="shared" si="0"/>
        <v>0</v>
      </c>
      <c r="AG115" s="54">
        <f t="shared" si="2"/>
        <v>0.31070546039976205</v>
      </c>
      <c r="AH115" s="54">
        <f t="shared" si="3"/>
        <v>0</v>
      </c>
      <c r="AI115" s="54">
        <f t="shared" si="4"/>
        <v>0.87110388207380918</v>
      </c>
    </row>
    <row r="116" spans="2:35">
      <c r="B116" s="61" t="s">
        <v>207</v>
      </c>
      <c r="C116" s="62">
        <v>12</v>
      </c>
      <c r="AD116" s="78">
        <f t="shared" si="5"/>
        <v>0.32000000000000012</v>
      </c>
      <c r="AE116" s="54">
        <f t="shared" si="1"/>
        <v>0.61010553092942788</v>
      </c>
      <c r="AF116" s="54">
        <f t="shared" ref="AF116:AF125" si="6">MAX(0,pseudoBeta(MAX(0,AD116-$C$89/52)/$C$92*52,$C$100,$C$101))*$C$97</f>
        <v>0</v>
      </c>
      <c r="AG116" s="54">
        <f t="shared" ref="AG116:AG125" si="7">MAX(0,pseudoBeta(MAX(0,AD116-$C$90/52)/$C$93*52,$C$102,$C$103))*$C$98</f>
        <v>0.61010553092942788</v>
      </c>
      <c r="AH116" s="54">
        <f t="shared" si="3"/>
        <v>0</v>
      </c>
      <c r="AI116" s="54">
        <f t="shared" si="4"/>
        <v>0.98624529709278275</v>
      </c>
    </row>
    <row r="117" spans="2:35">
      <c r="B117" s="61" t="s">
        <v>208</v>
      </c>
      <c r="C117" s="62">
        <v>12</v>
      </c>
      <c r="AD117" s="78">
        <f t="shared" si="5"/>
        <v>0.33000000000000013</v>
      </c>
      <c r="AE117" s="54">
        <f t="shared" si="1"/>
        <v>0.69194761790362513</v>
      </c>
      <c r="AF117" s="54">
        <f t="shared" si="6"/>
        <v>0</v>
      </c>
      <c r="AG117" s="54">
        <f t="shared" si="7"/>
        <v>0.69194761790362513</v>
      </c>
      <c r="AH117" s="54">
        <f t="shared" si="3"/>
        <v>0</v>
      </c>
      <c r="AI117" s="54">
        <f t="shared" si="4"/>
        <v>0.99989381003411049</v>
      </c>
    </row>
    <row r="118" spans="2:35">
      <c r="B118" s="61" t="s">
        <v>209</v>
      </c>
      <c r="C118" s="62">
        <v>1.5</v>
      </c>
      <c r="AD118" s="78">
        <f t="shared" si="5"/>
        <v>0.34000000000000014</v>
      </c>
      <c r="AE118" s="54">
        <f t="shared" si="1"/>
        <v>0.69424386188081288</v>
      </c>
      <c r="AF118" s="54">
        <f t="shared" si="6"/>
        <v>0</v>
      </c>
      <c r="AG118" s="54">
        <f t="shared" si="7"/>
        <v>0.69424386188081288</v>
      </c>
      <c r="AH118" s="54">
        <f t="shared" si="3"/>
        <v>0</v>
      </c>
      <c r="AI118" s="54">
        <f t="shared" si="4"/>
        <v>0.98849814374065548</v>
      </c>
    </row>
    <row r="119" spans="2:35">
      <c r="B119" s="61" t="s">
        <v>210</v>
      </c>
      <c r="C119" s="62">
        <v>4</v>
      </c>
      <c r="AD119" s="78">
        <f t="shared" si="5"/>
        <v>0.35000000000000014</v>
      </c>
      <c r="AE119" s="54">
        <f t="shared" si="1"/>
        <v>0.6546099125358078</v>
      </c>
      <c r="AF119" s="54">
        <f t="shared" si="6"/>
        <v>0</v>
      </c>
      <c r="AG119" s="54">
        <f t="shared" si="7"/>
        <v>0.6546099125358078</v>
      </c>
      <c r="AH119" s="54">
        <f t="shared" si="3"/>
        <v>0</v>
      </c>
      <c r="AI119" s="54">
        <f t="shared" si="4"/>
        <v>0.96441558312490827</v>
      </c>
    </row>
    <row r="120" spans="2:35">
      <c r="B120" s="61" t="s">
        <v>211</v>
      </c>
      <c r="C120" s="62">
        <v>1.1000000000000001</v>
      </c>
      <c r="AD120" s="78">
        <f t="shared" si="5"/>
        <v>0.36000000000000015</v>
      </c>
      <c r="AE120" s="54">
        <f t="shared" si="1"/>
        <v>0.59178781519264634</v>
      </c>
      <c r="AF120" s="54">
        <f t="shared" si="6"/>
        <v>0</v>
      </c>
      <c r="AG120" s="54">
        <f t="shared" si="7"/>
        <v>0.59178781519264634</v>
      </c>
      <c r="AH120" s="54">
        <f t="shared" si="3"/>
        <v>0</v>
      </c>
      <c r="AI120" s="54">
        <f t="shared" si="4"/>
        <v>0.93219820589450064</v>
      </c>
    </row>
    <row r="121" spans="2:35">
      <c r="B121" s="61" t="s">
        <v>212</v>
      </c>
      <c r="C121" s="62">
        <v>1.4</v>
      </c>
      <c r="AD121" s="78">
        <f t="shared" si="5"/>
        <v>0.37000000000000016</v>
      </c>
      <c r="AE121" s="54">
        <f t="shared" si="1"/>
        <v>0.51713034392436219</v>
      </c>
      <c r="AF121" s="54">
        <f t="shared" si="6"/>
        <v>0</v>
      </c>
      <c r="AG121" s="54">
        <f t="shared" si="7"/>
        <v>0.51713034392436219</v>
      </c>
      <c r="AH121" s="54">
        <f t="shared" si="3"/>
        <v>0</v>
      </c>
      <c r="AI121" s="54">
        <f t="shared" si="4"/>
        <v>0.89404242255544353</v>
      </c>
    </row>
    <row r="122" spans="2:35">
      <c r="B122" s="61" t="s">
        <v>213</v>
      </c>
      <c r="C122" s="62">
        <v>0.1</v>
      </c>
      <c r="AD122" s="78">
        <f t="shared" si="5"/>
        <v>0.38000000000000017</v>
      </c>
      <c r="AE122" s="54">
        <f t="shared" si="1"/>
        <v>0.43816241380516557</v>
      </c>
      <c r="AF122" s="54">
        <f t="shared" si="6"/>
        <v>0</v>
      </c>
      <c r="AG122" s="54">
        <f t="shared" si="7"/>
        <v>0.43816241380516557</v>
      </c>
      <c r="AH122" s="54">
        <f t="shared" si="3"/>
        <v>0</v>
      </c>
      <c r="AI122" s="54">
        <f t="shared" si="4"/>
        <v>0.85116297752416403</v>
      </c>
    </row>
    <row r="123" spans="2:35">
      <c r="B123" s="61" t="s">
        <v>214</v>
      </c>
      <c r="C123" s="62">
        <v>0.6</v>
      </c>
      <c r="AD123" s="78">
        <f t="shared" si="5"/>
        <v>0.39000000000000018</v>
      </c>
      <c r="AE123" s="54">
        <f t="shared" si="1"/>
        <v>0.3600786733096375</v>
      </c>
      <c r="AF123" s="54">
        <f t="shared" si="6"/>
        <v>0</v>
      </c>
      <c r="AG123" s="54">
        <f t="shared" si="7"/>
        <v>0.3600786733096375</v>
      </c>
      <c r="AH123" s="54">
        <f t="shared" si="3"/>
        <v>0</v>
      </c>
      <c r="AI123" s="54">
        <f t="shared" si="4"/>
        <v>0.80428036961621885</v>
      </c>
    </row>
    <row r="124" spans="2:35">
      <c r="B124" s="76"/>
      <c r="C124" s="77"/>
      <c r="AD124" s="78">
        <f t="shared" si="5"/>
        <v>0.40000000000000019</v>
      </c>
      <c r="AE124" s="54">
        <f t="shared" si="1"/>
        <v>0.28649568051158369</v>
      </c>
      <c r="AF124" s="54">
        <f t="shared" si="6"/>
        <v>0</v>
      </c>
      <c r="AG124" s="54">
        <f t="shared" si="7"/>
        <v>0.28649568051158369</v>
      </c>
      <c r="AH124" s="54">
        <f t="shared" si="3"/>
        <v>0</v>
      </c>
      <c r="AI124" s="54">
        <f t="shared" si="4"/>
        <v>0.75382939347722788</v>
      </c>
    </row>
    <row r="125" spans="2:35">
      <c r="B125" s="61" t="s">
        <v>215</v>
      </c>
      <c r="C125" s="62">
        <v>0.5</v>
      </c>
      <c r="AD125" s="78">
        <f t="shared" si="5"/>
        <v>0.4100000000000002</v>
      </c>
      <c r="AE125" s="54">
        <f t="shared" si="1"/>
        <v>0.21987750702495101</v>
      </c>
      <c r="AF125" s="54">
        <f t="shared" si="6"/>
        <v>0</v>
      </c>
      <c r="AG125" s="54">
        <f t="shared" si="7"/>
        <v>0.21987750702495101</v>
      </c>
      <c r="AH125" s="54">
        <f t="shared" si="3"/>
        <v>0</v>
      </c>
      <c r="AI125" s="54">
        <f t="shared" si="4"/>
        <v>0.70005814776225517</v>
      </c>
    </row>
    <row r="126" spans="2:35">
      <c r="B126" s="61" t="s">
        <v>216</v>
      </c>
      <c r="C126" s="62">
        <v>0.9</v>
      </c>
      <c r="AD126" s="78">
        <f t="shared" ref="AD126:AD182" si="8">AD125+1/100</f>
        <v>0.42000000000000021</v>
      </c>
      <c r="AE126" s="54">
        <f t="shared" ref="AE126:AE182" si="9">SUM(AF126:AH126)</f>
        <v>0.16179825907192402</v>
      </c>
      <c r="AF126" s="54">
        <f t="shared" ref="AF126:AF182" si="10">MAX(0,pseudoBeta(MAX(0,AD126-$C$89/52)/$C$92*52,$C$100,$C$101))*$C$97</f>
        <v>0</v>
      </c>
      <c r="AG126" s="54">
        <f t="shared" ref="AG126:AG182" si="11">MAX(0,pseudoBeta(MAX(0,AD126-$C$90/52)/$C$93*52,$C$102,$C$103))*$C$98</f>
        <v>0.16179825907192402</v>
      </c>
      <c r="AH126" s="54">
        <f t="shared" ref="AH126:AH182" si="12">MAX(0,pseudoBeta(MAX(0,AD126-$C$91/52)/$C$95*52,$C$106,$C$107))*$C$99</f>
        <v>0</v>
      </c>
      <c r="AI126" s="54">
        <f t="shared" si="4"/>
        <v>0.64307587616884232</v>
      </c>
    </row>
    <row r="127" spans="2:35">
      <c r="B127" s="61" t="s">
        <v>217</v>
      </c>
      <c r="C127" s="62">
        <v>1</v>
      </c>
      <c r="AD127" s="78">
        <f t="shared" si="8"/>
        <v>0.43000000000000022</v>
      </c>
      <c r="AE127" s="54">
        <f t="shared" si="9"/>
        <v>0.11311498381018063</v>
      </c>
      <c r="AF127" s="54">
        <f t="shared" si="10"/>
        <v>0</v>
      </c>
      <c r="AG127" s="54">
        <f t="shared" si="11"/>
        <v>0.11311498381018063</v>
      </c>
      <c r="AH127" s="54">
        <f t="shared" si="12"/>
        <v>0</v>
      </c>
      <c r="AI127" s="54">
        <f t="shared" si="4"/>
        <v>0.58287185800437924</v>
      </c>
    </row>
    <row r="128" spans="2:35">
      <c r="B128" s="61" t="s">
        <v>218</v>
      </c>
      <c r="C128" s="62">
        <v>0.1</v>
      </c>
      <c r="AD128" s="78">
        <f t="shared" si="8"/>
        <v>0.44000000000000022</v>
      </c>
      <c r="AE128" s="54">
        <f t="shared" si="9"/>
        <v>7.408758356307979E-2</v>
      </c>
      <c r="AF128" s="54">
        <f t="shared" si="10"/>
        <v>0</v>
      </c>
      <c r="AG128" s="54">
        <f t="shared" si="11"/>
        <v>7.408758356307979E-2</v>
      </c>
      <c r="AH128" s="54">
        <f t="shared" si="12"/>
        <v>0</v>
      </c>
      <c r="AI128" s="54">
        <f t="shared" si="4"/>
        <v>0.51931251390337729</v>
      </c>
    </row>
    <row r="129" spans="2:35">
      <c r="B129" s="61" t="s">
        <v>219</v>
      </c>
      <c r="C129" s="62">
        <v>0.1</v>
      </c>
      <c r="AD129" s="78">
        <f t="shared" si="8"/>
        <v>0.45000000000000023</v>
      </c>
      <c r="AE129" s="54">
        <f t="shared" si="9"/>
        <v>4.4465515615102411E-2</v>
      </c>
      <c r="AF129" s="54">
        <f t="shared" si="10"/>
        <v>0</v>
      </c>
      <c r="AG129" s="54">
        <f t="shared" si="11"/>
        <v>4.4465515615102411E-2</v>
      </c>
      <c r="AH129" s="54">
        <f t="shared" si="12"/>
        <v>0</v>
      </c>
      <c r="AI129" s="54">
        <f t="shared" si="4"/>
        <v>0.45211417052286107</v>
      </c>
    </row>
    <row r="130" spans="2:35">
      <c r="B130" s="61" t="s">
        <v>220</v>
      </c>
      <c r="C130" s="62">
        <v>3</v>
      </c>
      <c r="AD130" s="78">
        <f t="shared" si="8"/>
        <v>0.46000000000000024</v>
      </c>
      <c r="AE130" s="54">
        <f t="shared" si="9"/>
        <v>2.3552663353306802E-2</v>
      </c>
      <c r="AF130" s="54">
        <f t="shared" si="10"/>
        <v>0</v>
      </c>
      <c r="AG130" s="54">
        <f t="shared" si="11"/>
        <v>2.3552663353306802E-2</v>
      </c>
      <c r="AH130" s="54">
        <f t="shared" si="12"/>
        <v>0</v>
      </c>
      <c r="AI130" s="54">
        <f t="shared" si="4"/>
        <v>0.38077590152314528</v>
      </c>
    </row>
    <row r="131" spans="2:35">
      <c r="B131" s="61" t="s">
        <v>221</v>
      </c>
      <c r="C131" s="62">
        <v>16</v>
      </c>
      <c r="AD131" s="78">
        <f t="shared" si="8"/>
        <v>0.47000000000000025</v>
      </c>
      <c r="AE131" s="54">
        <f t="shared" si="9"/>
        <v>1.0257285582822649E-2</v>
      </c>
      <c r="AF131" s="54">
        <f t="shared" si="10"/>
        <v>0</v>
      </c>
      <c r="AG131" s="54">
        <f t="shared" si="11"/>
        <v>1.0257285582822649E-2</v>
      </c>
      <c r="AH131" s="54">
        <f t="shared" si="12"/>
        <v>0</v>
      </c>
      <c r="AI131" s="54">
        <f t="shared" si="4"/>
        <v>0.30442491415919154</v>
      </c>
    </row>
    <row r="132" spans="2:35">
      <c r="B132" s="61" t="s">
        <v>222</v>
      </c>
      <c r="C132" s="62">
        <v>0.1</v>
      </c>
      <c r="AD132" s="78">
        <f t="shared" si="8"/>
        <v>0.48000000000000026</v>
      </c>
      <c r="AE132" s="54">
        <f t="shared" si="9"/>
        <v>3.1314209417196786E-3</v>
      </c>
      <c r="AF132" s="54">
        <f t="shared" si="10"/>
        <v>0</v>
      </c>
      <c r="AG132" s="54">
        <f t="shared" si="11"/>
        <v>3.1314209417196786E-3</v>
      </c>
      <c r="AH132" s="54">
        <f t="shared" si="12"/>
        <v>0</v>
      </c>
      <c r="AI132" s="54">
        <f t="shared" si="4"/>
        <v>0.22141331860533048</v>
      </c>
    </row>
    <row r="133" spans="2:35">
      <c r="B133" s="61" t="s">
        <v>223</v>
      </c>
      <c r="C133" s="62">
        <v>1</v>
      </c>
      <c r="AD133" s="78">
        <f t="shared" si="8"/>
        <v>0.49000000000000027</v>
      </c>
      <c r="AE133" s="54">
        <f t="shared" si="9"/>
        <v>4.0262582571138364E-4</v>
      </c>
      <c r="AF133" s="54">
        <f t="shared" si="10"/>
        <v>0</v>
      </c>
      <c r="AG133" s="54">
        <f t="shared" si="11"/>
        <v>4.0262582571138364E-4</v>
      </c>
      <c r="AH133" s="54">
        <f t="shared" si="12"/>
        <v>0</v>
      </c>
      <c r="AI133" s="54">
        <f t="shared" si="4"/>
        <v>0.12788799467524303</v>
      </c>
    </row>
    <row r="134" spans="2:35">
      <c r="B134" s="76"/>
      <c r="C134" s="77"/>
      <c r="AD134" s="78">
        <f t="shared" si="8"/>
        <v>0.50000000000000022</v>
      </c>
      <c r="AE134" s="54">
        <f t="shared" si="9"/>
        <v>0</v>
      </c>
      <c r="AF134" s="54">
        <f t="shared" si="10"/>
        <v>0</v>
      </c>
      <c r="AG134" s="54">
        <f t="shared" si="11"/>
        <v>0</v>
      </c>
      <c r="AH134" s="54">
        <f t="shared" si="12"/>
        <v>0</v>
      </c>
      <c r="AI134" s="54" t="e">
        <f t="shared" si="4"/>
        <v>#VALUE!</v>
      </c>
    </row>
    <row r="135" spans="2:35">
      <c r="B135" s="61" t="s">
        <v>224</v>
      </c>
      <c r="C135" s="62">
        <v>3</v>
      </c>
      <c r="AD135" s="78">
        <f t="shared" si="8"/>
        <v>0.51000000000000023</v>
      </c>
      <c r="AE135" s="54">
        <f t="shared" si="9"/>
        <v>0</v>
      </c>
      <c r="AF135" s="54">
        <f t="shared" si="10"/>
        <v>0</v>
      </c>
      <c r="AG135" s="54">
        <f t="shared" si="11"/>
        <v>0</v>
      </c>
      <c r="AH135" s="54">
        <f t="shared" si="12"/>
        <v>0</v>
      </c>
      <c r="AI135" s="54" t="e">
        <f t="shared" si="4"/>
        <v>#VALUE!</v>
      </c>
    </row>
    <row r="136" spans="2:35">
      <c r="B136" s="61" t="s">
        <v>225</v>
      </c>
      <c r="C136" s="62">
        <v>-99</v>
      </c>
      <c r="AD136" s="78">
        <f t="shared" si="8"/>
        <v>0.52000000000000024</v>
      </c>
      <c r="AE136" s="54">
        <f t="shared" si="9"/>
        <v>0</v>
      </c>
      <c r="AF136" s="54">
        <f t="shared" si="10"/>
        <v>0</v>
      </c>
      <c r="AG136" s="54">
        <f t="shared" si="11"/>
        <v>0</v>
      </c>
      <c r="AH136" s="54">
        <f t="shared" si="12"/>
        <v>0</v>
      </c>
      <c r="AI136" s="54" t="e">
        <f t="shared" si="4"/>
        <v>#VALUE!</v>
      </c>
    </row>
    <row r="137" spans="2:35">
      <c r="B137" s="61" t="s">
        <v>226</v>
      </c>
      <c r="C137" s="62">
        <v>24</v>
      </c>
      <c r="AD137" s="78">
        <f t="shared" si="8"/>
        <v>0.53000000000000025</v>
      </c>
      <c r="AE137" s="54">
        <f t="shared" si="9"/>
        <v>0</v>
      </c>
      <c r="AF137" s="54">
        <f t="shared" si="10"/>
        <v>0</v>
      </c>
      <c r="AG137" s="54">
        <f t="shared" si="11"/>
        <v>0</v>
      </c>
      <c r="AH137" s="54">
        <f t="shared" si="12"/>
        <v>0</v>
      </c>
      <c r="AI137" s="54" t="e">
        <f t="shared" si="4"/>
        <v>#VALUE!</v>
      </c>
    </row>
    <row r="138" spans="2:35">
      <c r="B138" s="61" t="s">
        <v>227</v>
      </c>
      <c r="C138" s="62">
        <v>6</v>
      </c>
      <c r="AD138" s="78">
        <f t="shared" si="8"/>
        <v>0.54000000000000026</v>
      </c>
      <c r="AE138" s="54">
        <f t="shared" si="9"/>
        <v>0</v>
      </c>
      <c r="AF138" s="54">
        <f t="shared" si="10"/>
        <v>0</v>
      </c>
      <c r="AG138" s="54">
        <f t="shared" si="11"/>
        <v>0</v>
      </c>
      <c r="AH138" s="54">
        <f t="shared" si="12"/>
        <v>0</v>
      </c>
      <c r="AI138" s="54" t="e">
        <f t="shared" si="4"/>
        <v>#VALUE!</v>
      </c>
    </row>
    <row r="139" spans="2:35">
      <c r="B139" s="61" t="s">
        <v>228</v>
      </c>
      <c r="C139" s="62">
        <v>9</v>
      </c>
      <c r="AD139" s="78">
        <f t="shared" si="8"/>
        <v>0.55000000000000027</v>
      </c>
      <c r="AE139" s="54">
        <f t="shared" si="9"/>
        <v>0</v>
      </c>
      <c r="AF139" s="54">
        <f t="shared" si="10"/>
        <v>0</v>
      </c>
      <c r="AG139" s="54">
        <f t="shared" si="11"/>
        <v>0</v>
      </c>
      <c r="AH139" s="54">
        <f t="shared" si="12"/>
        <v>0</v>
      </c>
      <c r="AI139" s="54" t="e">
        <f t="shared" si="4"/>
        <v>#VALUE!</v>
      </c>
    </row>
    <row r="140" spans="2:35">
      <c r="B140" s="61" t="s">
        <v>229</v>
      </c>
      <c r="C140" s="62">
        <v>0.7</v>
      </c>
      <c r="AD140" s="78">
        <f t="shared" si="8"/>
        <v>0.56000000000000028</v>
      </c>
      <c r="AE140" s="54">
        <f t="shared" si="9"/>
        <v>0</v>
      </c>
      <c r="AF140" s="54">
        <f t="shared" si="10"/>
        <v>0</v>
      </c>
      <c r="AG140" s="54">
        <f t="shared" si="11"/>
        <v>0</v>
      </c>
      <c r="AH140" s="54">
        <f t="shared" si="12"/>
        <v>0</v>
      </c>
      <c r="AI140" s="54" t="e">
        <f t="shared" si="4"/>
        <v>#VALUE!</v>
      </c>
    </row>
    <row r="141" spans="2:35">
      <c r="B141" s="61" t="s">
        <v>230</v>
      </c>
      <c r="C141" s="62">
        <v>0.5</v>
      </c>
      <c r="AD141" s="78">
        <f t="shared" si="8"/>
        <v>0.57000000000000028</v>
      </c>
      <c r="AE141" s="54">
        <f t="shared" si="9"/>
        <v>0</v>
      </c>
      <c r="AF141" s="54">
        <f t="shared" si="10"/>
        <v>0</v>
      </c>
      <c r="AG141" s="54">
        <f t="shared" si="11"/>
        <v>0</v>
      </c>
      <c r="AH141" s="54">
        <f t="shared" si="12"/>
        <v>0</v>
      </c>
      <c r="AI141" s="54" t="e">
        <f t="shared" si="4"/>
        <v>#VALUE!</v>
      </c>
    </row>
    <row r="142" spans="2:35">
      <c r="B142" s="61" t="s">
        <v>231</v>
      </c>
      <c r="C142" s="62">
        <v>0.5</v>
      </c>
      <c r="AD142" s="78">
        <f t="shared" si="8"/>
        <v>0.58000000000000029</v>
      </c>
      <c r="AE142" s="54">
        <f t="shared" si="9"/>
        <v>0</v>
      </c>
      <c r="AF142" s="54">
        <f t="shared" si="10"/>
        <v>0</v>
      </c>
      <c r="AG142" s="54">
        <f t="shared" si="11"/>
        <v>0</v>
      </c>
      <c r="AH142" s="54">
        <f t="shared" si="12"/>
        <v>0</v>
      </c>
      <c r="AI142" s="54" t="e">
        <f t="shared" si="4"/>
        <v>#VALUE!</v>
      </c>
    </row>
    <row r="143" spans="2:35">
      <c r="B143" s="61" t="s">
        <v>232</v>
      </c>
      <c r="C143" s="62">
        <v>0.9</v>
      </c>
      <c r="AD143" s="78">
        <f t="shared" si="8"/>
        <v>0.5900000000000003</v>
      </c>
      <c r="AE143" s="54">
        <f t="shared" si="9"/>
        <v>0</v>
      </c>
      <c r="AF143" s="54">
        <f t="shared" si="10"/>
        <v>0</v>
      </c>
      <c r="AG143" s="54">
        <f t="shared" si="11"/>
        <v>0</v>
      </c>
      <c r="AH143" s="54">
        <f t="shared" si="12"/>
        <v>0</v>
      </c>
      <c r="AI143" s="54" t="e">
        <f t="shared" si="4"/>
        <v>#VALUE!</v>
      </c>
    </row>
    <row r="144" spans="2:35">
      <c r="B144" s="61" t="s">
        <v>233</v>
      </c>
      <c r="C144" s="62">
        <v>2</v>
      </c>
      <c r="AD144" s="78">
        <f t="shared" si="8"/>
        <v>0.60000000000000031</v>
      </c>
      <c r="AE144" s="54">
        <f t="shared" si="9"/>
        <v>0</v>
      </c>
      <c r="AF144" s="54">
        <f t="shared" si="10"/>
        <v>0</v>
      </c>
      <c r="AG144" s="54">
        <f t="shared" si="11"/>
        <v>0</v>
      </c>
      <c r="AH144" s="54">
        <f t="shared" si="12"/>
        <v>0</v>
      </c>
      <c r="AI144" s="54" t="e">
        <f t="shared" si="4"/>
        <v>#VALUE!</v>
      </c>
    </row>
    <row r="145" spans="2:35">
      <c r="B145" s="61" t="s">
        <v>234</v>
      </c>
      <c r="C145" s="62">
        <v>0.1</v>
      </c>
      <c r="AD145" s="78">
        <f t="shared" si="8"/>
        <v>0.61000000000000032</v>
      </c>
      <c r="AE145" s="54">
        <f t="shared" si="9"/>
        <v>0</v>
      </c>
      <c r="AF145" s="54">
        <f t="shared" si="10"/>
        <v>0</v>
      </c>
      <c r="AG145" s="54">
        <f t="shared" si="11"/>
        <v>0</v>
      </c>
      <c r="AH145" s="54">
        <f t="shared" si="12"/>
        <v>0</v>
      </c>
      <c r="AI145" s="54" t="e">
        <f t="shared" si="4"/>
        <v>#VALUE!</v>
      </c>
    </row>
    <row r="146" spans="2:35">
      <c r="B146" s="61" t="s">
        <v>235</v>
      </c>
      <c r="C146" s="62">
        <v>0.1</v>
      </c>
      <c r="AD146" s="78">
        <f t="shared" si="8"/>
        <v>0.62000000000000033</v>
      </c>
      <c r="AE146" s="54">
        <f t="shared" si="9"/>
        <v>0</v>
      </c>
      <c r="AF146" s="54">
        <f t="shared" si="10"/>
        <v>0</v>
      </c>
      <c r="AG146" s="54">
        <f t="shared" si="11"/>
        <v>0</v>
      </c>
      <c r="AH146" s="54">
        <f t="shared" si="12"/>
        <v>0</v>
      </c>
      <c r="AI146" s="54" t="e">
        <f t="shared" si="4"/>
        <v>#VALUE!</v>
      </c>
    </row>
    <row r="147" spans="2:35">
      <c r="B147" s="61" t="s">
        <v>236</v>
      </c>
      <c r="C147" s="62">
        <v>0.1</v>
      </c>
      <c r="AD147" s="78">
        <f t="shared" si="8"/>
        <v>0.63000000000000034</v>
      </c>
      <c r="AE147" s="54">
        <f t="shared" si="9"/>
        <v>0</v>
      </c>
      <c r="AF147" s="54">
        <f t="shared" si="10"/>
        <v>0</v>
      </c>
      <c r="AG147" s="54">
        <f t="shared" si="11"/>
        <v>0</v>
      </c>
      <c r="AH147" s="54">
        <f t="shared" si="12"/>
        <v>0</v>
      </c>
      <c r="AI147" s="54" t="e">
        <f t="shared" si="4"/>
        <v>#VALUE!</v>
      </c>
    </row>
    <row r="148" spans="2:35">
      <c r="B148" s="61" t="s">
        <v>237</v>
      </c>
      <c r="C148" s="62">
        <v>0.75</v>
      </c>
      <c r="AD148" s="78">
        <f t="shared" si="8"/>
        <v>0.64000000000000035</v>
      </c>
      <c r="AE148" s="54">
        <f t="shared" si="9"/>
        <v>0</v>
      </c>
      <c r="AF148" s="54">
        <f t="shared" si="10"/>
        <v>0</v>
      </c>
      <c r="AG148" s="54">
        <f t="shared" si="11"/>
        <v>0</v>
      </c>
      <c r="AH148" s="54">
        <f t="shared" si="12"/>
        <v>0</v>
      </c>
      <c r="AI148" s="54" t="e">
        <f t="shared" si="4"/>
        <v>#VALUE!</v>
      </c>
    </row>
    <row r="149" spans="2:35">
      <c r="B149" s="61" t="s">
        <v>238</v>
      </c>
      <c r="C149" s="62">
        <v>1.7</v>
      </c>
      <c r="AD149" s="78">
        <f t="shared" si="8"/>
        <v>0.65000000000000036</v>
      </c>
      <c r="AE149" s="54">
        <f t="shared" si="9"/>
        <v>0</v>
      </c>
      <c r="AF149" s="54">
        <f t="shared" si="10"/>
        <v>0</v>
      </c>
      <c r="AG149" s="54">
        <f t="shared" si="11"/>
        <v>0</v>
      </c>
      <c r="AH149" s="54">
        <f t="shared" si="12"/>
        <v>0</v>
      </c>
      <c r="AI149" s="54" t="e">
        <f t="shared" ref="AI149:AI212" si="13">MAX(0,pseudoBeta(MAX(0,AD149-$C$90/52)/$C$94*52,$C$104,$C$105))</f>
        <v>#VALUE!</v>
      </c>
    </row>
    <row r="150" spans="2:35">
      <c r="B150" s="61" t="s">
        <v>239</v>
      </c>
      <c r="C150" s="62">
        <v>4</v>
      </c>
      <c r="AD150" s="78">
        <f t="shared" si="8"/>
        <v>0.66000000000000036</v>
      </c>
      <c r="AE150" s="54">
        <f t="shared" si="9"/>
        <v>0</v>
      </c>
      <c r="AF150" s="54">
        <f t="shared" si="10"/>
        <v>0</v>
      </c>
      <c r="AG150" s="54">
        <f t="shared" si="11"/>
        <v>0</v>
      </c>
      <c r="AH150" s="54">
        <f t="shared" si="12"/>
        <v>0</v>
      </c>
      <c r="AI150" s="54" t="e">
        <f t="shared" si="13"/>
        <v>#VALUE!</v>
      </c>
    </row>
    <row r="151" spans="2:35">
      <c r="B151" s="61" t="s">
        <v>240</v>
      </c>
      <c r="C151" s="62">
        <v>2</v>
      </c>
      <c r="AD151" s="78">
        <f t="shared" si="8"/>
        <v>0.67000000000000037</v>
      </c>
      <c r="AE151" s="54">
        <f t="shared" si="9"/>
        <v>0</v>
      </c>
      <c r="AF151" s="54">
        <f t="shared" si="10"/>
        <v>0</v>
      </c>
      <c r="AG151" s="54">
        <f t="shared" si="11"/>
        <v>0</v>
      </c>
      <c r="AH151" s="54">
        <f t="shared" si="12"/>
        <v>0</v>
      </c>
      <c r="AI151" s="54" t="e">
        <f t="shared" si="13"/>
        <v>#VALUE!</v>
      </c>
    </row>
    <row r="152" spans="2:35">
      <c r="B152" s="61" t="s">
        <v>241</v>
      </c>
      <c r="C152" s="62">
        <v>4</v>
      </c>
      <c r="AD152" s="78">
        <f t="shared" si="8"/>
        <v>0.68000000000000038</v>
      </c>
      <c r="AE152" s="54">
        <f t="shared" si="9"/>
        <v>0</v>
      </c>
      <c r="AF152" s="54">
        <f t="shared" si="10"/>
        <v>0</v>
      </c>
      <c r="AG152" s="54">
        <f t="shared" si="11"/>
        <v>0</v>
      </c>
      <c r="AH152" s="54">
        <f t="shared" si="12"/>
        <v>0</v>
      </c>
      <c r="AI152" s="54" t="e">
        <f t="shared" si="13"/>
        <v>#VALUE!</v>
      </c>
    </row>
    <row r="153" spans="2:35">
      <c r="B153" s="61" t="s">
        <v>242</v>
      </c>
      <c r="C153" s="62">
        <v>2</v>
      </c>
      <c r="AD153" s="78">
        <f t="shared" si="8"/>
        <v>0.69000000000000039</v>
      </c>
      <c r="AE153" s="54">
        <f t="shared" si="9"/>
        <v>0</v>
      </c>
      <c r="AF153" s="54">
        <f t="shared" si="10"/>
        <v>0</v>
      </c>
      <c r="AG153" s="54">
        <f t="shared" si="11"/>
        <v>0</v>
      </c>
      <c r="AH153" s="54">
        <f t="shared" si="12"/>
        <v>0</v>
      </c>
      <c r="AI153" s="54" t="e">
        <f t="shared" si="13"/>
        <v>#VALUE!</v>
      </c>
    </row>
    <row r="154" spans="2:35">
      <c r="B154" s="61" t="s">
        <v>243</v>
      </c>
      <c r="C154" s="62">
        <v>5</v>
      </c>
      <c r="AD154" s="78">
        <f t="shared" si="8"/>
        <v>0.7000000000000004</v>
      </c>
      <c r="AE154" s="54">
        <f t="shared" si="9"/>
        <v>0</v>
      </c>
      <c r="AF154" s="54">
        <f t="shared" si="10"/>
        <v>0</v>
      </c>
      <c r="AG154" s="54">
        <f t="shared" si="11"/>
        <v>0</v>
      </c>
      <c r="AH154" s="54">
        <f t="shared" si="12"/>
        <v>0</v>
      </c>
      <c r="AI154" s="54" t="e">
        <f t="shared" si="13"/>
        <v>#VALUE!</v>
      </c>
    </row>
    <row r="155" spans="2:35">
      <c r="B155" s="61" t="s">
        <v>244</v>
      </c>
      <c r="C155" s="62">
        <v>2</v>
      </c>
      <c r="AD155" s="78">
        <f t="shared" si="8"/>
        <v>0.71000000000000041</v>
      </c>
      <c r="AE155" s="54">
        <f t="shared" si="9"/>
        <v>0</v>
      </c>
      <c r="AF155" s="54">
        <f t="shared" si="10"/>
        <v>0</v>
      </c>
      <c r="AG155" s="54">
        <f t="shared" si="11"/>
        <v>0</v>
      </c>
      <c r="AH155" s="54">
        <f t="shared" si="12"/>
        <v>0</v>
      </c>
      <c r="AI155" s="54" t="e">
        <f t="shared" si="13"/>
        <v>#VALUE!</v>
      </c>
    </row>
    <row r="156" spans="2:35">
      <c r="B156" s="61" t="s">
        <v>245</v>
      </c>
      <c r="C156" s="62">
        <v>4</v>
      </c>
      <c r="AD156" s="78">
        <f t="shared" si="8"/>
        <v>0.72000000000000042</v>
      </c>
      <c r="AE156" s="54">
        <f t="shared" si="9"/>
        <v>0</v>
      </c>
      <c r="AF156" s="54">
        <f t="shared" si="10"/>
        <v>0</v>
      </c>
      <c r="AG156" s="54">
        <f t="shared" si="11"/>
        <v>0</v>
      </c>
      <c r="AH156" s="54">
        <f t="shared" si="12"/>
        <v>0</v>
      </c>
      <c r="AI156" s="54" t="e">
        <f t="shared" si="13"/>
        <v>#VALUE!</v>
      </c>
    </row>
    <row r="157" spans="2:35">
      <c r="B157" s="76"/>
      <c r="C157" s="77"/>
      <c r="AD157" s="78">
        <f t="shared" si="8"/>
        <v>0.73000000000000043</v>
      </c>
      <c r="AE157" s="54">
        <f t="shared" si="9"/>
        <v>0</v>
      </c>
      <c r="AF157" s="54">
        <f t="shared" si="10"/>
        <v>0</v>
      </c>
      <c r="AG157" s="54">
        <f t="shared" si="11"/>
        <v>0</v>
      </c>
      <c r="AH157" s="54">
        <f t="shared" si="12"/>
        <v>0</v>
      </c>
      <c r="AI157" s="54" t="e">
        <f t="shared" si="13"/>
        <v>#VALUE!</v>
      </c>
    </row>
    <row r="158" spans="2:35">
      <c r="B158" s="61" t="s">
        <v>246</v>
      </c>
      <c r="C158" s="62">
        <v>3</v>
      </c>
      <c r="AD158" s="78">
        <f t="shared" si="8"/>
        <v>0.74000000000000044</v>
      </c>
      <c r="AE158" s="54">
        <f t="shared" si="9"/>
        <v>0</v>
      </c>
      <c r="AF158" s="54">
        <f t="shared" si="10"/>
        <v>0</v>
      </c>
      <c r="AG158" s="54">
        <f t="shared" si="11"/>
        <v>0</v>
      </c>
      <c r="AH158" s="54">
        <f t="shared" si="12"/>
        <v>0</v>
      </c>
      <c r="AI158" s="54" t="e">
        <f t="shared" si="13"/>
        <v>#VALUE!</v>
      </c>
    </row>
    <row r="159" spans="2:35">
      <c r="B159" s="61" t="s">
        <v>247</v>
      </c>
      <c r="C159" s="62">
        <v>16</v>
      </c>
      <c r="AD159" s="78">
        <f t="shared" si="8"/>
        <v>0.75000000000000044</v>
      </c>
      <c r="AE159" s="54">
        <f t="shared" si="9"/>
        <v>0</v>
      </c>
      <c r="AF159" s="54">
        <f t="shared" si="10"/>
        <v>0</v>
      </c>
      <c r="AG159" s="54">
        <f t="shared" si="11"/>
        <v>0</v>
      </c>
      <c r="AH159" s="54">
        <f t="shared" si="12"/>
        <v>0</v>
      </c>
      <c r="AI159" s="54" t="e">
        <f t="shared" si="13"/>
        <v>#VALUE!</v>
      </c>
    </row>
    <row r="160" spans="2:35">
      <c r="B160" s="61" t="s">
        <v>248</v>
      </c>
      <c r="C160" s="62">
        <v>0.5</v>
      </c>
      <c r="AD160" s="78">
        <f t="shared" si="8"/>
        <v>0.76000000000000045</v>
      </c>
      <c r="AE160" s="54">
        <f t="shared" si="9"/>
        <v>0</v>
      </c>
      <c r="AF160" s="54">
        <f t="shared" si="10"/>
        <v>0</v>
      </c>
      <c r="AG160" s="54">
        <f t="shared" si="11"/>
        <v>0</v>
      </c>
      <c r="AH160" s="54">
        <f t="shared" si="12"/>
        <v>0</v>
      </c>
      <c r="AI160" s="54" t="e">
        <f t="shared" si="13"/>
        <v>#VALUE!</v>
      </c>
    </row>
    <row r="161" spans="2:35">
      <c r="B161" s="61" t="s">
        <v>249</v>
      </c>
      <c r="C161" s="62">
        <v>0.9</v>
      </c>
      <c r="AD161" s="78">
        <f t="shared" si="8"/>
        <v>0.77000000000000046</v>
      </c>
      <c r="AE161" s="54">
        <f t="shared" si="9"/>
        <v>0</v>
      </c>
      <c r="AF161" s="54">
        <f t="shared" si="10"/>
        <v>0</v>
      </c>
      <c r="AG161" s="54">
        <f t="shared" si="11"/>
        <v>0</v>
      </c>
      <c r="AH161" s="54">
        <f t="shared" si="12"/>
        <v>0</v>
      </c>
      <c r="AI161" s="54" t="e">
        <f t="shared" si="13"/>
        <v>#VALUE!</v>
      </c>
    </row>
    <row r="162" spans="2:35">
      <c r="B162" s="61" t="s">
        <v>250</v>
      </c>
      <c r="C162" s="62">
        <v>1</v>
      </c>
      <c r="AD162" s="78">
        <f t="shared" si="8"/>
        <v>0.78000000000000047</v>
      </c>
      <c r="AE162" s="54">
        <f t="shared" si="9"/>
        <v>0</v>
      </c>
      <c r="AF162" s="54">
        <f t="shared" si="10"/>
        <v>0</v>
      </c>
      <c r="AG162" s="54">
        <f t="shared" si="11"/>
        <v>0</v>
      </c>
      <c r="AH162" s="54">
        <f t="shared" si="12"/>
        <v>0</v>
      </c>
      <c r="AI162" s="54" t="e">
        <f t="shared" si="13"/>
        <v>#VALUE!</v>
      </c>
    </row>
    <row r="163" spans="2:35">
      <c r="B163" s="61" t="s">
        <v>251</v>
      </c>
      <c r="C163" s="62">
        <v>0.1</v>
      </c>
      <c r="AD163" s="78">
        <f t="shared" si="8"/>
        <v>0.79000000000000048</v>
      </c>
      <c r="AE163" s="54">
        <f t="shared" si="9"/>
        <v>0</v>
      </c>
      <c r="AF163" s="54">
        <f t="shared" si="10"/>
        <v>0</v>
      </c>
      <c r="AG163" s="54">
        <f t="shared" si="11"/>
        <v>0</v>
      </c>
      <c r="AH163" s="54">
        <f t="shared" si="12"/>
        <v>0</v>
      </c>
      <c r="AI163" s="54" t="e">
        <f t="shared" si="13"/>
        <v>#VALUE!</v>
      </c>
    </row>
    <row r="164" spans="2:35">
      <c r="B164" s="61" t="s">
        <v>252</v>
      </c>
      <c r="C164" s="62">
        <v>0.1</v>
      </c>
      <c r="AD164" s="78">
        <f t="shared" si="8"/>
        <v>0.80000000000000049</v>
      </c>
      <c r="AE164" s="54">
        <f t="shared" si="9"/>
        <v>0</v>
      </c>
      <c r="AF164" s="54">
        <f t="shared" si="10"/>
        <v>0</v>
      </c>
      <c r="AG164" s="54">
        <f t="shared" si="11"/>
        <v>0</v>
      </c>
      <c r="AH164" s="54">
        <f t="shared" si="12"/>
        <v>0</v>
      </c>
      <c r="AI164" s="54" t="e">
        <f t="shared" si="13"/>
        <v>#VALUE!</v>
      </c>
    </row>
    <row r="165" spans="2:35">
      <c r="B165" s="61" t="s">
        <v>253</v>
      </c>
      <c r="C165" s="62">
        <v>0.1</v>
      </c>
      <c r="AD165" s="78">
        <f t="shared" si="8"/>
        <v>0.8100000000000005</v>
      </c>
      <c r="AE165" s="54">
        <f t="shared" si="9"/>
        <v>0</v>
      </c>
      <c r="AF165" s="54">
        <f t="shared" si="10"/>
        <v>0</v>
      </c>
      <c r="AG165" s="54">
        <f t="shared" si="11"/>
        <v>0</v>
      </c>
      <c r="AH165" s="54">
        <f t="shared" si="12"/>
        <v>0</v>
      </c>
      <c r="AI165" s="54" t="e">
        <f t="shared" si="13"/>
        <v>#VALUE!</v>
      </c>
    </row>
    <row r="166" spans="2:35">
      <c r="B166" s="61" t="s">
        <v>254</v>
      </c>
      <c r="C166" s="62">
        <v>1</v>
      </c>
      <c r="AD166" s="78">
        <f t="shared" si="8"/>
        <v>0.82000000000000051</v>
      </c>
      <c r="AE166" s="54">
        <f t="shared" si="9"/>
        <v>0</v>
      </c>
      <c r="AF166" s="54">
        <f t="shared" si="10"/>
        <v>0</v>
      </c>
      <c r="AG166" s="54">
        <f t="shared" si="11"/>
        <v>0</v>
      </c>
      <c r="AH166" s="54">
        <f t="shared" si="12"/>
        <v>0</v>
      </c>
      <c r="AI166" s="54" t="e">
        <f t="shared" si="13"/>
        <v>#VALUE!</v>
      </c>
    </row>
    <row r="167" spans="2:35">
      <c r="B167" s="57"/>
      <c r="C167" s="57"/>
      <c r="AD167" s="78">
        <f t="shared" si="8"/>
        <v>0.83000000000000052</v>
      </c>
      <c r="AE167" s="54">
        <f t="shared" si="9"/>
        <v>0</v>
      </c>
      <c r="AF167" s="54">
        <f t="shared" si="10"/>
        <v>0</v>
      </c>
      <c r="AG167" s="54">
        <f t="shared" si="11"/>
        <v>0</v>
      </c>
      <c r="AH167" s="54">
        <f t="shared" si="12"/>
        <v>0</v>
      </c>
      <c r="AI167" s="54" t="e">
        <f t="shared" si="13"/>
        <v>#VALUE!</v>
      </c>
    </row>
    <row r="168" spans="2:35">
      <c r="AD168" s="78">
        <f t="shared" si="8"/>
        <v>0.84000000000000052</v>
      </c>
      <c r="AE168" s="54">
        <f t="shared" si="9"/>
        <v>0</v>
      </c>
      <c r="AF168" s="54">
        <f t="shared" si="10"/>
        <v>0</v>
      </c>
      <c r="AG168" s="54">
        <f t="shared" si="11"/>
        <v>0</v>
      </c>
      <c r="AH168" s="54">
        <f t="shared" si="12"/>
        <v>0</v>
      </c>
      <c r="AI168" s="54" t="e">
        <f t="shared" si="13"/>
        <v>#VALUE!</v>
      </c>
    </row>
    <row r="169" spans="2:35">
      <c r="AD169" s="78">
        <f t="shared" si="8"/>
        <v>0.85000000000000053</v>
      </c>
      <c r="AE169" s="54">
        <f t="shared" si="9"/>
        <v>0</v>
      </c>
      <c r="AF169" s="54">
        <f t="shared" si="10"/>
        <v>0</v>
      </c>
      <c r="AG169" s="54">
        <f t="shared" si="11"/>
        <v>0</v>
      </c>
      <c r="AH169" s="54">
        <f t="shared" si="12"/>
        <v>0</v>
      </c>
      <c r="AI169" s="54" t="e">
        <f t="shared" si="13"/>
        <v>#VALUE!</v>
      </c>
    </row>
    <row r="170" spans="2:35">
      <c r="AD170" s="78">
        <f t="shared" si="8"/>
        <v>0.86000000000000054</v>
      </c>
      <c r="AE170" s="54">
        <f t="shared" si="9"/>
        <v>0</v>
      </c>
      <c r="AF170" s="54">
        <f t="shared" si="10"/>
        <v>0</v>
      </c>
      <c r="AG170" s="54">
        <f t="shared" si="11"/>
        <v>0</v>
      </c>
      <c r="AH170" s="54">
        <f t="shared" si="12"/>
        <v>0</v>
      </c>
      <c r="AI170" s="54" t="e">
        <f t="shared" si="13"/>
        <v>#VALUE!</v>
      </c>
    </row>
    <row r="171" spans="2:35">
      <c r="AD171" s="78">
        <f t="shared" si="8"/>
        <v>0.87000000000000055</v>
      </c>
      <c r="AE171" s="54">
        <f t="shared" si="9"/>
        <v>0</v>
      </c>
      <c r="AF171" s="54">
        <f t="shared" si="10"/>
        <v>0</v>
      </c>
      <c r="AG171" s="54">
        <f t="shared" si="11"/>
        <v>0</v>
      </c>
      <c r="AH171" s="54">
        <f t="shared" si="12"/>
        <v>0</v>
      </c>
      <c r="AI171" s="54" t="e">
        <f t="shared" si="13"/>
        <v>#VALUE!</v>
      </c>
    </row>
    <row r="172" spans="2:35">
      <c r="AD172" s="78">
        <f t="shared" si="8"/>
        <v>0.88000000000000056</v>
      </c>
      <c r="AE172" s="54">
        <f t="shared" si="9"/>
        <v>0</v>
      </c>
      <c r="AF172" s="54">
        <f t="shared" si="10"/>
        <v>0</v>
      </c>
      <c r="AG172" s="54">
        <f t="shared" si="11"/>
        <v>0</v>
      </c>
      <c r="AH172" s="54">
        <f t="shared" si="12"/>
        <v>0</v>
      </c>
      <c r="AI172" s="54" t="e">
        <f t="shared" si="13"/>
        <v>#VALUE!</v>
      </c>
    </row>
    <row r="173" spans="2:35">
      <c r="AD173" s="78">
        <f t="shared" si="8"/>
        <v>0.89000000000000057</v>
      </c>
      <c r="AE173" s="54">
        <f t="shared" si="9"/>
        <v>0</v>
      </c>
      <c r="AF173" s="54">
        <f t="shared" si="10"/>
        <v>0</v>
      </c>
      <c r="AG173" s="54">
        <f t="shared" si="11"/>
        <v>0</v>
      </c>
      <c r="AH173" s="54">
        <f t="shared" si="12"/>
        <v>0</v>
      </c>
      <c r="AI173" s="54" t="e">
        <f t="shared" si="13"/>
        <v>#VALUE!</v>
      </c>
    </row>
    <row r="174" spans="2:35">
      <c r="AD174" s="78">
        <f t="shared" si="8"/>
        <v>0.90000000000000058</v>
      </c>
      <c r="AE174" s="54">
        <f t="shared" si="9"/>
        <v>0</v>
      </c>
      <c r="AF174" s="54">
        <f t="shared" si="10"/>
        <v>0</v>
      </c>
      <c r="AG174" s="54">
        <f t="shared" si="11"/>
        <v>0</v>
      </c>
      <c r="AH174" s="54">
        <f t="shared" si="12"/>
        <v>0</v>
      </c>
      <c r="AI174" s="54" t="e">
        <f t="shared" si="13"/>
        <v>#VALUE!</v>
      </c>
    </row>
    <row r="175" spans="2:35">
      <c r="AD175" s="78">
        <f t="shared" si="8"/>
        <v>0.91000000000000059</v>
      </c>
      <c r="AE175" s="54">
        <f t="shared" si="9"/>
        <v>0</v>
      </c>
      <c r="AF175" s="54">
        <f t="shared" si="10"/>
        <v>0</v>
      </c>
      <c r="AG175" s="54">
        <f t="shared" si="11"/>
        <v>0</v>
      </c>
      <c r="AH175" s="54">
        <f t="shared" si="12"/>
        <v>0</v>
      </c>
      <c r="AI175" s="54" t="e">
        <f t="shared" si="13"/>
        <v>#VALUE!</v>
      </c>
    </row>
    <row r="176" spans="2:35">
      <c r="AD176" s="78">
        <f t="shared" si="8"/>
        <v>0.9200000000000006</v>
      </c>
      <c r="AE176" s="54">
        <f t="shared" si="9"/>
        <v>0</v>
      </c>
      <c r="AF176" s="54">
        <f t="shared" si="10"/>
        <v>0</v>
      </c>
      <c r="AG176" s="54">
        <f t="shared" si="11"/>
        <v>0</v>
      </c>
      <c r="AH176" s="54">
        <f t="shared" si="12"/>
        <v>0</v>
      </c>
      <c r="AI176" s="54" t="e">
        <f t="shared" si="13"/>
        <v>#VALUE!</v>
      </c>
    </row>
    <row r="177" spans="30:35">
      <c r="AD177" s="78">
        <f t="shared" si="8"/>
        <v>0.9300000000000006</v>
      </c>
      <c r="AE177" s="54">
        <f t="shared" si="9"/>
        <v>0</v>
      </c>
      <c r="AF177" s="54">
        <f t="shared" si="10"/>
        <v>0</v>
      </c>
      <c r="AG177" s="54">
        <f t="shared" si="11"/>
        <v>0</v>
      </c>
      <c r="AH177" s="54">
        <f t="shared" si="12"/>
        <v>0</v>
      </c>
      <c r="AI177" s="54" t="e">
        <f t="shared" si="13"/>
        <v>#VALUE!</v>
      </c>
    </row>
    <row r="178" spans="30:35">
      <c r="AD178" s="78">
        <f t="shared" si="8"/>
        <v>0.94000000000000061</v>
      </c>
      <c r="AE178" s="54">
        <f t="shared" si="9"/>
        <v>0</v>
      </c>
      <c r="AF178" s="54">
        <f t="shared" si="10"/>
        <v>0</v>
      </c>
      <c r="AG178" s="54">
        <f t="shared" si="11"/>
        <v>0</v>
      </c>
      <c r="AH178" s="54">
        <f t="shared" si="12"/>
        <v>0</v>
      </c>
      <c r="AI178" s="54" t="e">
        <f t="shared" si="13"/>
        <v>#VALUE!</v>
      </c>
    </row>
    <row r="179" spans="30:35">
      <c r="AD179" s="78">
        <f t="shared" si="8"/>
        <v>0.95000000000000062</v>
      </c>
      <c r="AE179" s="54">
        <f t="shared" si="9"/>
        <v>0</v>
      </c>
      <c r="AF179" s="54">
        <f t="shared" si="10"/>
        <v>0</v>
      </c>
      <c r="AG179" s="54">
        <f t="shared" si="11"/>
        <v>0</v>
      </c>
      <c r="AH179" s="54">
        <f t="shared" si="12"/>
        <v>0</v>
      </c>
      <c r="AI179" s="54" t="e">
        <f t="shared" si="13"/>
        <v>#VALUE!</v>
      </c>
    </row>
    <row r="180" spans="30:35">
      <c r="AD180" s="78">
        <f t="shared" si="8"/>
        <v>0.96000000000000063</v>
      </c>
      <c r="AE180" s="54">
        <f t="shared" si="9"/>
        <v>0</v>
      </c>
      <c r="AF180" s="54">
        <f t="shared" si="10"/>
        <v>0</v>
      </c>
      <c r="AG180" s="54">
        <f t="shared" si="11"/>
        <v>0</v>
      </c>
      <c r="AH180" s="54">
        <f t="shared" si="12"/>
        <v>0</v>
      </c>
      <c r="AI180" s="54" t="e">
        <f t="shared" si="13"/>
        <v>#VALUE!</v>
      </c>
    </row>
    <row r="181" spans="30:35">
      <c r="AD181" s="78">
        <f t="shared" si="8"/>
        <v>0.97000000000000064</v>
      </c>
      <c r="AE181" s="54">
        <f t="shared" si="9"/>
        <v>0</v>
      </c>
      <c r="AF181" s="54">
        <f t="shared" si="10"/>
        <v>0</v>
      </c>
      <c r="AG181" s="54">
        <f t="shared" si="11"/>
        <v>0</v>
      </c>
      <c r="AH181" s="54">
        <f t="shared" si="12"/>
        <v>0</v>
      </c>
      <c r="AI181" s="54" t="e">
        <f t="shared" si="13"/>
        <v>#VALUE!</v>
      </c>
    </row>
    <row r="182" spans="30:35">
      <c r="AD182" s="78">
        <f t="shared" si="8"/>
        <v>0.98000000000000065</v>
      </c>
      <c r="AE182" s="54">
        <f t="shared" si="9"/>
        <v>0</v>
      </c>
      <c r="AF182" s="54">
        <f t="shared" si="10"/>
        <v>0</v>
      </c>
      <c r="AG182" s="54">
        <f t="shared" si="11"/>
        <v>0</v>
      </c>
      <c r="AH182" s="54">
        <f t="shared" si="12"/>
        <v>0</v>
      </c>
      <c r="AI182" s="54" t="e">
        <f t="shared" si="13"/>
        <v>#VALUE!</v>
      </c>
    </row>
    <row r="183" spans="30:35">
      <c r="AD183" s="78">
        <f t="shared" ref="AD183:AD246" si="14">AD182+1/100</f>
        <v>0.99000000000000066</v>
      </c>
      <c r="AE183" s="54">
        <f t="shared" ref="AE183:AE246" si="15">SUM(AF183:AH183)</f>
        <v>0</v>
      </c>
      <c r="AF183" s="54">
        <f t="shared" ref="AF183:AF246" si="16">MAX(0,pseudoBeta(MAX(0,AD183-$C$89/52)/$C$92*52,$C$100,$C$101))*$C$97</f>
        <v>0</v>
      </c>
      <c r="AG183" s="54">
        <f t="shared" ref="AG183:AG246" si="17">MAX(0,pseudoBeta(MAX(0,AD183-$C$90/52)/$C$93*52,$C$102,$C$103))*$C$98</f>
        <v>0</v>
      </c>
      <c r="AH183" s="54">
        <f t="shared" ref="AH183:AH246" si="18">MAX(0,pseudoBeta(MAX(0,AD183-$C$91/52)/$C$95*52,$C$106,$C$107))*$C$99</f>
        <v>0</v>
      </c>
      <c r="AI183" s="54" t="e">
        <f t="shared" si="13"/>
        <v>#VALUE!</v>
      </c>
    </row>
    <row r="184" spans="30:35">
      <c r="AD184" s="78">
        <f t="shared" si="14"/>
        <v>1.0000000000000007</v>
      </c>
      <c r="AE184" s="54">
        <f t="shared" si="15"/>
        <v>1.2363510589415439E-7</v>
      </c>
      <c r="AF184" s="54">
        <f t="shared" si="16"/>
        <v>0</v>
      </c>
      <c r="AG184" s="54">
        <f t="shared" si="17"/>
        <v>0</v>
      </c>
      <c r="AH184" s="54">
        <f t="shared" si="18"/>
        <v>1.2363510589415439E-7</v>
      </c>
      <c r="AI184" s="54" t="e">
        <f t="shared" si="13"/>
        <v>#VALUE!</v>
      </c>
    </row>
    <row r="185" spans="30:35">
      <c r="AD185" s="78">
        <f t="shared" si="14"/>
        <v>1.0100000000000007</v>
      </c>
      <c r="AE185" s="54">
        <f t="shared" si="15"/>
        <v>0.40811830762897733</v>
      </c>
      <c r="AF185" s="54">
        <f t="shared" si="16"/>
        <v>0</v>
      </c>
      <c r="AG185" s="54">
        <f t="shared" si="17"/>
        <v>0</v>
      </c>
      <c r="AH185" s="54">
        <f t="shared" si="18"/>
        <v>0.40811830762897733</v>
      </c>
      <c r="AI185" s="54" t="e">
        <f t="shared" si="13"/>
        <v>#VALUE!</v>
      </c>
    </row>
    <row r="186" spans="30:35">
      <c r="AD186" s="78">
        <f t="shared" si="14"/>
        <v>1.0200000000000007</v>
      </c>
      <c r="AE186" s="54">
        <f t="shared" si="15"/>
        <v>0.48730412970965198</v>
      </c>
      <c r="AF186" s="54">
        <f t="shared" si="16"/>
        <v>0</v>
      </c>
      <c r="AG186" s="54">
        <f t="shared" si="17"/>
        <v>0</v>
      </c>
      <c r="AH186" s="54">
        <f t="shared" si="18"/>
        <v>0.48730412970965198</v>
      </c>
      <c r="AI186" s="54" t="e">
        <f t="shared" si="13"/>
        <v>#VALUE!</v>
      </c>
    </row>
    <row r="187" spans="30:35">
      <c r="AD187" s="78">
        <f t="shared" si="14"/>
        <v>1.0300000000000007</v>
      </c>
      <c r="AE187" s="54">
        <f t="shared" si="15"/>
        <v>0.49882594306356781</v>
      </c>
      <c r="AF187" s="54">
        <f t="shared" si="16"/>
        <v>0</v>
      </c>
      <c r="AG187" s="54">
        <f t="shared" si="17"/>
        <v>0</v>
      </c>
      <c r="AH187" s="54">
        <f t="shared" si="18"/>
        <v>0.49882594306356781</v>
      </c>
      <c r="AI187" s="54" t="e">
        <f t="shared" si="13"/>
        <v>#VALUE!</v>
      </c>
    </row>
    <row r="188" spans="30:35">
      <c r="AD188" s="78">
        <f t="shared" si="14"/>
        <v>1.0400000000000007</v>
      </c>
      <c r="AE188" s="54">
        <f t="shared" si="15"/>
        <v>0.47595578025307211</v>
      </c>
      <c r="AF188" s="54">
        <f t="shared" si="16"/>
        <v>0</v>
      </c>
      <c r="AG188" s="54">
        <f t="shared" si="17"/>
        <v>0</v>
      </c>
      <c r="AH188" s="54">
        <f t="shared" si="18"/>
        <v>0.47595578025307211</v>
      </c>
      <c r="AI188" s="54" t="e">
        <f t="shared" si="13"/>
        <v>#VALUE!</v>
      </c>
    </row>
    <row r="189" spans="30:35">
      <c r="AD189" s="78">
        <f t="shared" si="14"/>
        <v>1.0500000000000007</v>
      </c>
      <c r="AE189" s="54">
        <f t="shared" si="15"/>
        <v>0.43405146503352382</v>
      </c>
      <c r="AF189" s="54">
        <f t="shared" si="16"/>
        <v>0</v>
      </c>
      <c r="AG189" s="54">
        <f t="shared" si="17"/>
        <v>0</v>
      </c>
      <c r="AH189" s="54">
        <f t="shared" si="18"/>
        <v>0.43405146503352382</v>
      </c>
      <c r="AI189" s="54" t="e">
        <f t="shared" si="13"/>
        <v>#VALUE!</v>
      </c>
    </row>
    <row r="190" spans="30:35">
      <c r="AD190" s="78">
        <f t="shared" si="14"/>
        <v>1.0600000000000007</v>
      </c>
      <c r="AE190" s="54">
        <f t="shared" si="15"/>
        <v>0.38212196727235098</v>
      </c>
      <c r="AF190" s="54">
        <f t="shared" si="16"/>
        <v>0</v>
      </c>
      <c r="AG190" s="54">
        <f t="shared" si="17"/>
        <v>0</v>
      </c>
      <c r="AH190" s="54">
        <f t="shared" si="18"/>
        <v>0.38212196727235098</v>
      </c>
      <c r="AI190" s="54" t="e">
        <f t="shared" si="13"/>
        <v>#VALUE!</v>
      </c>
    </row>
    <row r="191" spans="30:35">
      <c r="AD191" s="78">
        <f t="shared" si="14"/>
        <v>1.0700000000000007</v>
      </c>
      <c r="AE191" s="54">
        <f t="shared" si="15"/>
        <v>0.32604791850137577</v>
      </c>
      <c r="AF191" s="54">
        <f t="shared" si="16"/>
        <v>0</v>
      </c>
      <c r="AG191" s="54">
        <f t="shared" si="17"/>
        <v>0</v>
      </c>
      <c r="AH191" s="54">
        <f t="shared" si="18"/>
        <v>0.32604791850137577</v>
      </c>
      <c r="AI191" s="54" t="e">
        <f t="shared" si="13"/>
        <v>#VALUE!</v>
      </c>
    </row>
    <row r="192" spans="30:35">
      <c r="AD192" s="78">
        <f t="shared" si="14"/>
        <v>1.0800000000000007</v>
      </c>
      <c r="AE192" s="54">
        <f t="shared" si="15"/>
        <v>0.26986378038911008</v>
      </c>
      <c r="AF192" s="54">
        <f t="shared" si="16"/>
        <v>0</v>
      </c>
      <c r="AG192" s="54">
        <f t="shared" si="17"/>
        <v>0</v>
      </c>
      <c r="AH192" s="54">
        <f t="shared" si="18"/>
        <v>0.26986378038911008</v>
      </c>
      <c r="AI192" s="54" t="e">
        <f t="shared" si="13"/>
        <v>#VALUE!</v>
      </c>
    </row>
    <row r="193" spans="30:35">
      <c r="AD193" s="78">
        <f t="shared" si="14"/>
        <v>1.0900000000000007</v>
      </c>
      <c r="AE193" s="54">
        <f t="shared" si="15"/>
        <v>0.21638004992286511</v>
      </c>
      <c r="AF193" s="54">
        <f t="shared" si="16"/>
        <v>0</v>
      </c>
      <c r="AG193" s="54">
        <f t="shared" si="17"/>
        <v>0</v>
      </c>
      <c r="AH193" s="54">
        <f t="shared" si="18"/>
        <v>0.21638004992286511</v>
      </c>
      <c r="AI193" s="54" t="e">
        <f t="shared" si="13"/>
        <v>#VALUE!</v>
      </c>
    </row>
    <row r="194" spans="30:35">
      <c r="AD194" s="78">
        <f t="shared" si="14"/>
        <v>1.1000000000000008</v>
      </c>
      <c r="AE194" s="54">
        <f t="shared" si="15"/>
        <v>0.16752698679603489</v>
      </c>
      <c r="AF194" s="54">
        <f t="shared" si="16"/>
        <v>0</v>
      </c>
      <c r="AG194" s="54">
        <f t="shared" si="17"/>
        <v>0</v>
      </c>
      <c r="AH194" s="54">
        <f t="shared" si="18"/>
        <v>0.16752698679603489</v>
      </c>
      <c r="AI194" s="54" t="e">
        <f t="shared" si="13"/>
        <v>#VALUE!</v>
      </c>
    </row>
    <row r="195" spans="30:35">
      <c r="AD195" s="78">
        <f t="shared" si="14"/>
        <v>1.1100000000000008</v>
      </c>
      <c r="AE195" s="54">
        <f t="shared" si="15"/>
        <v>0.1245629011487457</v>
      </c>
      <c r="AF195" s="54">
        <f t="shared" si="16"/>
        <v>0</v>
      </c>
      <c r="AG195" s="54">
        <f t="shared" si="17"/>
        <v>0</v>
      </c>
      <c r="AH195" s="54">
        <f t="shared" si="18"/>
        <v>0.1245629011487457</v>
      </c>
      <c r="AI195" s="54" t="e">
        <f t="shared" si="13"/>
        <v>#VALUE!</v>
      </c>
    </row>
    <row r="196" spans="30:35">
      <c r="AD196" s="78">
        <f t="shared" si="14"/>
        <v>1.1200000000000008</v>
      </c>
      <c r="AE196" s="54">
        <f t="shared" si="15"/>
        <v>8.820947207159581E-2</v>
      </c>
      <c r="AF196" s="54">
        <f t="shared" si="16"/>
        <v>0</v>
      </c>
      <c r="AG196" s="54">
        <f t="shared" si="17"/>
        <v>0</v>
      </c>
      <c r="AH196" s="54">
        <f t="shared" si="18"/>
        <v>8.820947207159581E-2</v>
      </c>
      <c r="AI196" s="54" t="e">
        <f t="shared" si="13"/>
        <v>#VALUE!</v>
      </c>
    </row>
    <row r="197" spans="30:35">
      <c r="AD197" s="78">
        <f t="shared" si="14"/>
        <v>1.1300000000000008</v>
      </c>
      <c r="AE197" s="54">
        <f t="shared" si="15"/>
        <v>5.874457576705628E-2</v>
      </c>
      <c r="AF197" s="54">
        <f t="shared" si="16"/>
        <v>0</v>
      </c>
      <c r="AG197" s="54">
        <f t="shared" si="17"/>
        <v>0</v>
      </c>
      <c r="AH197" s="54">
        <f t="shared" si="18"/>
        <v>5.874457576705628E-2</v>
      </c>
      <c r="AI197" s="54" t="e">
        <f t="shared" si="13"/>
        <v>#VALUE!</v>
      </c>
    </row>
    <row r="198" spans="30:35">
      <c r="AD198" s="78">
        <f t="shared" si="14"/>
        <v>1.1400000000000008</v>
      </c>
      <c r="AE198" s="54">
        <f t="shared" si="15"/>
        <v>3.6068808413506848E-2</v>
      </c>
      <c r="AF198" s="54">
        <f t="shared" si="16"/>
        <v>0</v>
      </c>
      <c r="AG198" s="54">
        <f t="shared" si="17"/>
        <v>0</v>
      </c>
      <c r="AH198" s="54">
        <f t="shared" si="18"/>
        <v>3.6068808413506848E-2</v>
      </c>
      <c r="AI198" s="54" t="e">
        <f t="shared" si="13"/>
        <v>#VALUE!</v>
      </c>
    </row>
    <row r="199" spans="30:35">
      <c r="AD199" s="78">
        <f t="shared" si="14"/>
        <v>1.1500000000000008</v>
      </c>
      <c r="AE199" s="54">
        <f t="shared" si="15"/>
        <v>1.9754895516666829E-2</v>
      </c>
      <c r="AF199" s="54">
        <f t="shared" si="16"/>
        <v>0</v>
      </c>
      <c r="AG199" s="54">
        <f t="shared" si="17"/>
        <v>0</v>
      </c>
      <c r="AH199" s="54">
        <f t="shared" si="18"/>
        <v>1.9754895516666829E-2</v>
      </c>
      <c r="AI199" s="54" t="e">
        <f t="shared" si="13"/>
        <v>#VALUE!</v>
      </c>
    </row>
    <row r="200" spans="30:35">
      <c r="AD200" s="78">
        <f t="shared" si="14"/>
        <v>1.1600000000000008</v>
      </c>
      <c r="AE200" s="54">
        <f t="shared" si="15"/>
        <v>9.0855014401198062E-3</v>
      </c>
      <c r="AF200" s="54">
        <f t="shared" si="16"/>
        <v>0</v>
      </c>
      <c r="AG200" s="54">
        <f t="shared" si="17"/>
        <v>0</v>
      </c>
      <c r="AH200" s="54">
        <f t="shared" si="18"/>
        <v>9.0855014401198062E-3</v>
      </c>
      <c r="AI200" s="54" t="e">
        <f t="shared" si="13"/>
        <v>#VALUE!</v>
      </c>
    </row>
    <row r="201" spans="30:35">
      <c r="AD201" s="78">
        <f t="shared" si="14"/>
        <v>1.1700000000000008</v>
      </c>
      <c r="AE201" s="54">
        <f t="shared" si="15"/>
        <v>3.0829003952062748E-3</v>
      </c>
      <c r="AF201" s="54">
        <f t="shared" si="16"/>
        <v>0</v>
      </c>
      <c r="AG201" s="54">
        <f t="shared" si="17"/>
        <v>0</v>
      </c>
      <c r="AH201" s="54">
        <f t="shared" si="18"/>
        <v>3.0829003952062748E-3</v>
      </c>
      <c r="AI201" s="54" t="e">
        <f t="shared" si="13"/>
        <v>#VALUE!</v>
      </c>
    </row>
    <row r="202" spans="30:35">
      <c r="AD202" s="78">
        <f t="shared" si="14"/>
        <v>1.1800000000000008</v>
      </c>
      <c r="AE202" s="54">
        <f t="shared" si="15"/>
        <v>5.3276690565913205E-4</v>
      </c>
      <c r="AF202" s="54">
        <f t="shared" si="16"/>
        <v>0</v>
      </c>
      <c r="AG202" s="54">
        <f t="shared" si="17"/>
        <v>0</v>
      </c>
      <c r="AH202" s="54">
        <f t="shared" si="18"/>
        <v>5.3276690565913205E-4</v>
      </c>
      <c r="AI202" s="54" t="e">
        <f t="shared" si="13"/>
        <v>#VALUE!</v>
      </c>
    </row>
    <row r="203" spans="30:35">
      <c r="AD203" s="78">
        <f t="shared" si="14"/>
        <v>1.1900000000000008</v>
      </c>
      <c r="AE203" s="54">
        <f t="shared" si="15"/>
        <v>3.6081252395076239E-6</v>
      </c>
      <c r="AF203" s="54">
        <f t="shared" si="16"/>
        <v>0</v>
      </c>
      <c r="AG203" s="54">
        <f t="shared" si="17"/>
        <v>0</v>
      </c>
      <c r="AH203" s="54">
        <f t="shared" si="18"/>
        <v>3.6081252395076239E-6</v>
      </c>
      <c r="AI203" s="54" t="e">
        <f t="shared" si="13"/>
        <v>#VALUE!</v>
      </c>
    </row>
    <row r="204" spans="30:35">
      <c r="AD204" s="78">
        <f t="shared" si="14"/>
        <v>1.2000000000000008</v>
      </c>
      <c r="AE204" s="54">
        <f t="shared" si="15"/>
        <v>0</v>
      </c>
      <c r="AF204" s="54">
        <f t="shared" si="16"/>
        <v>0</v>
      </c>
      <c r="AG204" s="54">
        <f t="shared" si="17"/>
        <v>0</v>
      </c>
      <c r="AH204" s="54">
        <f t="shared" si="18"/>
        <v>0</v>
      </c>
      <c r="AI204" s="54" t="e">
        <f t="shared" si="13"/>
        <v>#VALUE!</v>
      </c>
    </row>
    <row r="205" spans="30:35">
      <c r="AD205" s="78">
        <f t="shared" si="14"/>
        <v>1.2100000000000009</v>
      </c>
      <c r="AE205" s="54">
        <f t="shared" si="15"/>
        <v>0</v>
      </c>
      <c r="AF205" s="54">
        <f t="shared" si="16"/>
        <v>0</v>
      </c>
      <c r="AG205" s="54">
        <f t="shared" si="17"/>
        <v>0</v>
      </c>
      <c r="AH205" s="54">
        <f t="shared" si="18"/>
        <v>0</v>
      </c>
      <c r="AI205" s="54" t="e">
        <f t="shared" si="13"/>
        <v>#VALUE!</v>
      </c>
    </row>
    <row r="206" spans="30:35">
      <c r="AD206" s="78">
        <f t="shared" si="14"/>
        <v>1.2200000000000009</v>
      </c>
      <c r="AE206" s="54">
        <f t="shared" si="15"/>
        <v>0</v>
      </c>
      <c r="AF206" s="54">
        <f t="shared" si="16"/>
        <v>0</v>
      </c>
      <c r="AG206" s="54">
        <f t="shared" si="17"/>
        <v>0</v>
      </c>
      <c r="AH206" s="54">
        <f t="shared" si="18"/>
        <v>0</v>
      </c>
      <c r="AI206" s="54" t="e">
        <f t="shared" si="13"/>
        <v>#VALUE!</v>
      </c>
    </row>
    <row r="207" spans="30:35">
      <c r="AD207" s="78">
        <f t="shared" si="14"/>
        <v>1.2300000000000009</v>
      </c>
      <c r="AE207" s="54">
        <f t="shared" si="15"/>
        <v>0</v>
      </c>
      <c r="AF207" s="54">
        <f t="shared" si="16"/>
        <v>0</v>
      </c>
      <c r="AG207" s="54">
        <f t="shared" si="17"/>
        <v>0</v>
      </c>
      <c r="AH207" s="54">
        <f t="shared" si="18"/>
        <v>0</v>
      </c>
      <c r="AI207" s="54" t="e">
        <f t="shared" si="13"/>
        <v>#VALUE!</v>
      </c>
    </row>
    <row r="208" spans="30:35">
      <c r="AD208" s="78">
        <f t="shared" si="14"/>
        <v>1.2400000000000009</v>
      </c>
      <c r="AE208" s="54">
        <f t="shared" si="15"/>
        <v>0</v>
      </c>
      <c r="AF208" s="54">
        <f t="shared" si="16"/>
        <v>0</v>
      </c>
      <c r="AG208" s="54">
        <f t="shared" si="17"/>
        <v>0</v>
      </c>
      <c r="AH208" s="54">
        <f t="shared" si="18"/>
        <v>0</v>
      </c>
      <c r="AI208" s="54" t="e">
        <f t="shared" si="13"/>
        <v>#VALUE!</v>
      </c>
    </row>
    <row r="209" spans="30:35">
      <c r="AD209" s="78">
        <f t="shared" si="14"/>
        <v>1.2500000000000009</v>
      </c>
      <c r="AE209" s="54">
        <f t="shared" si="15"/>
        <v>0</v>
      </c>
      <c r="AF209" s="54">
        <f t="shared" si="16"/>
        <v>0</v>
      </c>
      <c r="AG209" s="54">
        <f t="shared" si="17"/>
        <v>0</v>
      </c>
      <c r="AH209" s="54">
        <f t="shared" si="18"/>
        <v>0</v>
      </c>
      <c r="AI209" s="54" t="e">
        <f t="shared" si="13"/>
        <v>#VALUE!</v>
      </c>
    </row>
    <row r="210" spans="30:35">
      <c r="AD210" s="78">
        <f t="shared" si="14"/>
        <v>1.2600000000000009</v>
      </c>
      <c r="AE210" s="54">
        <f t="shared" si="15"/>
        <v>0</v>
      </c>
      <c r="AF210" s="54">
        <f t="shared" si="16"/>
        <v>0</v>
      </c>
      <c r="AG210" s="54">
        <f t="shared" si="17"/>
        <v>0</v>
      </c>
      <c r="AH210" s="54">
        <f t="shared" si="18"/>
        <v>0</v>
      </c>
      <c r="AI210" s="54" t="e">
        <f t="shared" si="13"/>
        <v>#VALUE!</v>
      </c>
    </row>
    <row r="211" spans="30:35">
      <c r="AD211" s="78">
        <f t="shared" si="14"/>
        <v>1.2700000000000009</v>
      </c>
      <c r="AE211" s="54">
        <f t="shared" si="15"/>
        <v>0</v>
      </c>
      <c r="AF211" s="54">
        <f t="shared" si="16"/>
        <v>0</v>
      </c>
      <c r="AG211" s="54">
        <f t="shared" si="17"/>
        <v>0</v>
      </c>
      <c r="AH211" s="54">
        <f t="shared" si="18"/>
        <v>0</v>
      </c>
      <c r="AI211" s="54" t="e">
        <f t="shared" si="13"/>
        <v>#VALUE!</v>
      </c>
    </row>
    <row r="212" spans="30:35">
      <c r="AD212" s="78">
        <f t="shared" si="14"/>
        <v>1.2800000000000009</v>
      </c>
      <c r="AE212" s="54">
        <f t="shared" si="15"/>
        <v>0</v>
      </c>
      <c r="AF212" s="54">
        <f t="shared" si="16"/>
        <v>0</v>
      </c>
      <c r="AG212" s="54">
        <f t="shared" si="17"/>
        <v>0</v>
      </c>
      <c r="AH212" s="54">
        <f t="shared" si="18"/>
        <v>0</v>
      </c>
      <c r="AI212" s="54" t="e">
        <f t="shared" si="13"/>
        <v>#VALUE!</v>
      </c>
    </row>
    <row r="213" spans="30:35">
      <c r="AD213" s="78">
        <f t="shared" si="14"/>
        <v>1.2900000000000009</v>
      </c>
      <c r="AE213" s="54">
        <f t="shared" si="15"/>
        <v>0</v>
      </c>
      <c r="AF213" s="54">
        <f t="shared" si="16"/>
        <v>0</v>
      </c>
      <c r="AG213" s="54">
        <f t="shared" si="17"/>
        <v>0</v>
      </c>
      <c r="AH213" s="54">
        <f t="shared" si="18"/>
        <v>0</v>
      </c>
      <c r="AI213" s="54" t="e">
        <f t="shared" ref="AI213:AI276" si="19">MAX(0,pseudoBeta(MAX(0,AD213-$C$90/52)/$C$94*52,$C$104,$C$105))</f>
        <v>#VALUE!</v>
      </c>
    </row>
    <row r="214" spans="30:35">
      <c r="AD214" s="78">
        <f t="shared" si="14"/>
        <v>1.3000000000000009</v>
      </c>
      <c r="AE214" s="54">
        <f t="shared" si="15"/>
        <v>0</v>
      </c>
      <c r="AF214" s="54">
        <f t="shared" si="16"/>
        <v>0</v>
      </c>
      <c r="AG214" s="54">
        <f t="shared" si="17"/>
        <v>0</v>
      </c>
      <c r="AH214" s="54">
        <f t="shared" si="18"/>
        <v>0</v>
      </c>
      <c r="AI214" s="54" t="e">
        <f t="shared" si="19"/>
        <v>#VALUE!</v>
      </c>
    </row>
    <row r="215" spans="30:35">
      <c r="AD215" s="78">
        <f t="shared" si="14"/>
        <v>1.3100000000000009</v>
      </c>
      <c r="AE215" s="54">
        <f t="shared" si="15"/>
        <v>0</v>
      </c>
      <c r="AF215" s="54">
        <f t="shared" si="16"/>
        <v>0</v>
      </c>
      <c r="AG215" s="54">
        <f t="shared" si="17"/>
        <v>0</v>
      </c>
      <c r="AH215" s="54">
        <f t="shared" si="18"/>
        <v>0</v>
      </c>
      <c r="AI215" s="54" t="e">
        <f t="shared" si="19"/>
        <v>#VALUE!</v>
      </c>
    </row>
    <row r="216" spans="30:35">
      <c r="AD216" s="78">
        <f t="shared" si="14"/>
        <v>1.320000000000001</v>
      </c>
      <c r="AE216" s="54">
        <f t="shared" si="15"/>
        <v>0</v>
      </c>
      <c r="AF216" s="54">
        <f t="shared" si="16"/>
        <v>0</v>
      </c>
      <c r="AG216" s="54">
        <f t="shared" si="17"/>
        <v>0</v>
      </c>
      <c r="AH216" s="54">
        <f t="shared" si="18"/>
        <v>0</v>
      </c>
      <c r="AI216" s="54" t="e">
        <f t="shared" si="19"/>
        <v>#VALUE!</v>
      </c>
    </row>
    <row r="217" spans="30:35">
      <c r="AD217" s="78">
        <f t="shared" si="14"/>
        <v>1.330000000000001</v>
      </c>
      <c r="AE217" s="54">
        <f t="shared" si="15"/>
        <v>0</v>
      </c>
      <c r="AF217" s="54">
        <f t="shared" si="16"/>
        <v>0</v>
      </c>
      <c r="AG217" s="54">
        <f t="shared" si="17"/>
        <v>0</v>
      </c>
      <c r="AH217" s="54">
        <f t="shared" si="18"/>
        <v>0</v>
      </c>
      <c r="AI217" s="54" t="e">
        <f t="shared" si="19"/>
        <v>#VALUE!</v>
      </c>
    </row>
    <row r="218" spans="30:35">
      <c r="AD218" s="78">
        <f t="shared" si="14"/>
        <v>1.340000000000001</v>
      </c>
      <c r="AE218" s="54">
        <f t="shared" si="15"/>
        <v>0</v>
      </c>
      <c r="AF218" s="54">
        <f t="shared" si="16"/>
        <v>0</v>
      </c>
      <c r="AG218" s="54">
        <f t="shared" si="17"/>
        <v>0</v>
      </c>
      <c r="AH218" s="54">
        <f t="shared" si="18"/>
        <v>0</v>
      </c>
      <c r="AI218" s="54" t="e">
        <f t="shared" si="19"/>
        <v>#VALUE!</v>
      </c>
    </row>
    <row r="219" spans="30:35">
      <c r="AD219" s="78">
        <f t="shared" si="14"/>
        <v>1.350000000000001</v>
      </c>
      <c r="AE219" s="54">
        <f t="shared" si="15"/>
        <v>0</v>
      </c>
      <c r="AF219" s="54">
        <f t="shared" si="16"/>
        <v>0</v>
      </c>
      <c r="AG219" s="54">
        <f t="shared" si="17"/>
        <v>0</v>
      </c>
      <c r="AH219" s="54">
        <f t="shared" si="18"/>
        <v>0</v>
      </c>
      <c r="AI219" s="54" t="e">
        <f t="shared" si="19"/>
        <v>#VALUE!</v>
      </c>
    </row>
    <row r="220" spans="30:35">
      <c r="AD220" s="78">
        <f t="shared" si="14"/>
        <v>1.360000000000001</v>
      </c>
      <c r="AE220" s="54">
        <f t="shared" si="15"/>
        <v>0</v>
      </c>
      <c r="AF220" s="54">
        <f t="shared" si="16"/>
        <v>0</v>
      </c>
      <c r="AG220" s="54">
        <f t="shared" si="17"/>
        <v>0</v>
      </c>
      <c r="AH220" s="54">
        <f t="shared" si="18"/>
        <v>0</v>
      </c>
      <c r="AI220" s="54" t="e">
        <f t="shared" si="19"/>
        <v>#VALUE!</v>
      </c>
    </row>
    <row r="221" spans="30:35">
      <c r="AD221" s="78">
        <f t="shared" si="14"/>
        <v>1.370000000000001</v>
      </c>
      <c r="AE221" s="54">
        <f t="shared" si="15"/>
        <v>0</v>
      </c>
      <c r="AF221" s="54">
        <f t="shared" si="16"/>
        <v>0</v>
      </c>
      <c r="AG221" s="54">
        <f t="shared" si="17"/>
        <v>0</v>
      </c>
      <c r="AH221" s="54">
        <f t="shared" si="18"/>
        <v>0</v>
      </c>
      <c r="AI221" s="54" t="e">
        <f t="shared" si="19"/>
        <v>#VALUE!</v>
      </c>
    </row>
    <row r="222" spans="30:35">
      <c r="AD222" s="78">
        <f t="shared" si="14"/>
        <v>1.380000000000001</v>
      </c>
      <c r="AE222" s="54">
        <f t="shared" si="15"/>
        <v>0</v>
      </c>
      <c r="AF222" s="54">
        <f t="shared" si="16"/>
        <v>0</v>
      </c>
      <c r="AG222" s="54">
        <f t="shared" si="17"/>
        <v>0</v>
      </c>
      <c r="AH222" s="54">
        <f t="shared" si="18"/>
        <v>0</v>
      </c>
      <c r="AI222" s="54" t="e">
        <f t="shared" si="19"/>
        <v>#VALUE!</v>
      </c>
    </row>
    <row r="223" spans="30:35">
      <c r="AD223" s="78">
        <f t="shared" si="14"/>
        <v>1.390000000000001</v>
      </c>
      <c r="AE223" s="54">
        <f t="shared" si="15"/>
        <v>0</v>
      </c>
      <c r="AF223" s="54">
        <f t="shared" si="16"/>
        <v>0</v>
      </c>
      <c r="AG223" s="54">
        <f t="shared" si="17"/>
        <v>0</v>
      </c>
      <c r="AH223" s="54">
        <f t="shared" si="18"/>
        <v>0</v>
      </c>
      <c r="AI223" s="54" t="e">
        <f t="shared" si="19"/>
        <v>#VALUE!</v>
      </c>
    </row>
    <row r="224" spans="30:35">
      <c r="AD224" s="78">
        <f t="shared" si="14"/>
        <v>1.400000000000001</v>
      </c>
      <c r="AE224" s="54">
        <f t="shared" si="15"/>
        <v>0</v>
      </c>
      <c r="AF224" s="54">
        <f t="shared" si="16"/>
        <v>0</v>
      </c>
      <c r="AG224" s="54">
        <f t="shared" si="17"/>
        <v>0</v>
      </c>
      <c r="AH224" s="54">
        <f t="shared" si="18"/>
        <v>0</v>
      </c>
      <c r="AI224" s="54" t="e">
        <f t="shared" si="19"/>
        <v>#VALUE!</v>
      </c>
    </row>
    <row r="225" spans="30:35">
      <c r="AD225" s="78">
        <f t="shared" si="14"/>
        <v>1.410000000000001</v>
      </c>
      <c r="AE225" s="54">
        <f t="shared" si="15"/>
        <v>0</v>
      </c>
      <c r="AF225" s="54">
        <f t="shared" si="16"/>
        <v>0</v>
      </c>
      <c r="AG225" s="54">
        <f t="shared" si="17"/>
        <v>0</v>
      </c>
      <c r="AH225" s="54">
        <f t="shared" si="18"/>
        <v>0</v>
      </c>
      <c r="AI225" s="54" t="e">
        <f t="shared" si="19"/>
        <v>#VALUE!</v>
      </c>
    </row>
    <row r="226" spans="30:35">
      <c r="AD226" s="78">
        <f t="shared" si="14"/>
        <v>1.420000000000001</v>
      </c>
      <c r="AE226" s="54">
        <f t="shared" si="15"/>
        <v>0</v>
      </c>
      <c r="AF226" s="54">
        <f t="shared" si="16"/>
        <v>0</v>
      </c>
      <c r="AG226" s="54">
        <f t="shared" si="17"/>
        <v>0</v>
      </c>
      <c r="AH226" s="54">
        <f t="shared" si="18"/>
        <v>0</v>
      </c>
      <c r="AI226" s="54" t="e">
        <f t="shared" si="19"/>
        <v>#VALUE!</v>
      </c>
    </row>
    <row r="227" spans="30:35">
      <c r="AD227" s="78">
        <f t="shared" si="14"/>
        <v>1.430000000000001</v>
      </c>
      <c r="AE227" s="54">
        <f t="shared" si="15"/>
        <v>0</v>
      </c>
      <c r="AF227" s="54">
        <f t="shared" si="16"/>
        <v>0</v>
      </c>
      <c r="AG227" s="54">
        <f t="shared" si="17"/>
        <v>0</v>
      </c>
      <c r="AH227" s="54">
        <f t="shared" si="18"/>
        <v>0</v>
      </c>
      <c r="AI227" s="54" t="e">
        <f t="shared" si="19"/>
        <v>#VALUE!</v>
      </c>
    </row>
    <row r="228" spans="30:35">
      <c r="AD228" s="78">
        <f t="shared" si="14"/>
        <v>1.4400000000000011</v>
      </c>
      <c r="AE228" s="54">
        <f t="shared" si="15"/>
        <v>0</v>
      </c>
      <c r="AF228" s="54">
        <f t="shared" si="16"/>
        <v>0</v>
      </c>
      <c r="AG228" s="54">
        <f t="shared" si="17"/>
        <v>0</v>
      </c>
      <c r="AH228" s="54">
        <f t="shared" si="18"/>
        <v>0</v>
      </c>
      <c r="AI228" s="54" t="e">
        <f t="shared" si="19"/>
        <v>#VALUE!</v>
      </c>
    </row>
    <row r="229" spans="30:35">
      <c r="AD229" s="78">
        <f t="shared" si="14"/>
        <v>1.4500000000000011</v>
      </c>
      <c r="AE229" s="54">
        <f t="shared" si="15"/>
        <v>0</v>
      </c>
      <c r="AF229" s="54">
        <f t="shared" si="16"/>
        <v>0</v>
      </c>
      <c r="AG229" s="54">
        <f t="shared" si="17"/>
        <v>0</v>
      </c>
      <c r="AH229" s="54">
        <f t="shared" si="18"/>
        <v>0</v>
      </c>
      <c r="AI229" s="54" t="e">
        <f t="shared" si="19"/>
        <v>#VALUE!</v>
      </c>
    </row>
    <row r="230" spans="30:35">
      <c r="AD230" s="78">
        <f t="shared" si="14"/>
        <v>1.4600000000000011</v>
      </c>
      <c r="AE230" s="54">
        <f t="shared" si="15"/>
        <v>0</v>
      </c>
      <c r="AF230" s="54">
        <f t="shared" si="16"/>
        <v>0</v>
      </c>
      <c r="AG230" s="54">
        <f t="shared" si="17"/>
        <v>0</v>
      </c>
      <c r="AH230" s="54">
        <f t="shared" si="18"/>
        <v>0</v>
      </c>
      <c r="AI230" s="54" t="e">
        <f t="shared" si="19"/>
        <v>#VALUE!</v>
      </c>
    </row>
    <row r="231" spans="30:35">
      <c r="AD231" s="78">
        <f t="shared" si="14"/>
        <v>1.4700000000000011</v>
      </c>
      <c r="AE231" s="54">
        <f t="shared" si="15"/>
        <v>0</v>
      </c>
      <c r="AF231" s="54">
        <f t="shared" si="16"/>
        <v>0</v>
      </c>
      <c r="AG231" s="54">
        <f t="shared" si="17"/>
        <v>0</v>
      </c>
      <c r="AH231" s="54">
        <f t="shared" si="18"/>
        <v>0</v>
      </c>
      <c r="AI231" s="54" t="e">
        <f t="shared" si="19"/>
        <v>#VALUE!</v>
      </c>
    </row>
    <row r="232" spans="30:35">
      <c r="AD232" s="78">
        <f t="shared" si="14"/>
        <v>1.4800000000000011</v>
      </c>
      <c r="AE232" s="54">
        <f t="shared" si="15"/>
        <v>0</v>
      </c>
      <c r="AF232" s="54">
        <f t="shared" si="16"/>
        <v>0</v>
      </c>
      <c r="AG232" s="54">
        <f t="shared" si="17"/>
        <v>0</v>
      </c>
      <c r="AH232" s="54">
        <f t="shared" si="18"/>
        <v>0</v>
      </c>
      <c r="AI232" s="54" t="e">
        <f t="shared" si="19"/>
        <v>#VALUE!</v>
      </c>
    </row>
    <row r="233" spans="30:35">
      <c r="AD233" s="78">
        <f t="shared" si="14"/>
        <v>1.4900000000000011</v>
      </c>
      <c r="AE233" s="54">
        <f t="shared" si="15"/>
        <v>0</v>
      </c>
      <c r="AF233" s="54">
        <f t="shared" si="16"/>
        <v>0</v>
      </c>
      <c r="AG233" s="54">
        <f t="shared" si="17"/>
        <v>0</v>
      </c>
      <c r="AH233" s="54">
        <f t="shared" si="18"/>
        <v>0</v>
      </c>
      <c r="AI233" s="54" t="e">
        <f t="shared" si="19"/>
        <v>#VALUE!</v>
      </c>
    </row>
    <row r="234" spans="30:35">
      <c r="AD234" s="78">
        <f t="shared" si="14"/>
        <v>1.5000000000000011</v>
      </c>
      <c r="AE234" s="54">
        <f t="shared" si="15"/>
        <v>0</v>
      </c>
      <c r="AF234" s="54">
        <f t="shared" si="16"/>
        <v>0</v>
      </c>
      <c r="AG234" s="54">
        <f t="shared" si="17"/>
        <v>0</v>
      </c>
      <c r="AH234" s="54">
        <f t="shared" si="18"/>
        <v>0</v>
      </c>
      <c r="AI234" s="54" t="e">
        <f t="shared" si="19"/>
        <v>#VALUE!</v>
      </c>
    </row>
    <row r="235" spans="30:35">
      <c r="AD235" s="78">
        <f t="shared" si="14"/>
        <v>1.5100000000000011</v>
      </c>
      <c r="AE235" s="54">
        <f t="shared" si="15"/>
        <v>0</v>
      </c>
      <c r="AF235" s="54">
        <f t="shared" si="16"/>
        <v>0</v>
      </c>
      <c r="AG235" s="54">
        <f t="shared" si="17"/>
        <v>0</v>
      </c>
      <c r="AH235" s="54">
        <f t="shared" si="18"/>
        <v>0</v>
      </c>
      <c r="AI235" s="54" t="e">
        <f t="shared" si="19"/>
        <v>#VALUE!</v>
      </c>
    </row>
    <row r="236" spans="30:35">
      <c r="AD236" s="78">
        <f t="shared" si="14"/>
        <v>1.5200000000000011</v>
      </c>
      <c r="AE236" s="54">
        <f t="shared" si="15"/>
        <v>0</v>
      </c>
      <c r="AF236" s="54">
        <f t="shared" si="16"/>
        <v>0</v>
      </c>
      <c r="AG236" s="54">
        <f t="shared" si="17"/>
        <v>0</v>
      </c>
      <c r="AH236" s="54">
        <f t="shared" si="18"/>
        <v>0</v>
      </c>
      <c r="AI236" s="54" t="e">
        <f t="shared" si="19"/>
        <v>#VALUE!</v>
      </c>
    </row>
    <row r="237" spans="30:35">
      <c r="AD237" s="78">
        <f t="shared" si="14"/>
        <v>1.5300000000000011</v>
      </c>
      <c r="AE237" s="54">
        <f t="shared" si="15"/>
        <v>0</v>
      </c>
      <c r="AF237" s="54">
        <f t="shared" si="16"/>
        <v>0</v>
      </c>
      <c r="AG237" s="54">
        <f t="shared" si="17"/>
        <v>0</v>
      </c>
      <c r="AH237" s="54">
        <f t="shared" si="18"/>
        <v>0</v>
      </c>
      <c r="AI237" s="54" t="e">
        <f t="shared" si="19"/>
        <v>#VALUE!</v>
      </c>
    </row>
    <row r="238" spans="30:35">
      <c r="AD238" s="78">
        <f t="shared" si="14"/>
        <v>1.5400000000000011</v>
      </c>
      <c r="AE238" s="54">
        <f t="shared" si="15"/>
        <v>0</v>
      </c>
      <c r="AF238" s="54">
        <f t="shared" si="16"/>
        <v>0</v>
      </c>
      <c r="AG238" s="54">
        <f t="shared" si="17"/>
        <v>0</v>
      </c>
      <c r="AH238" s="54">
        <f t="shared" si="18"/>
        <v>0</v>
      </c>
      <c r="AI238" s="54" t="e">
        <f t="shared" si="19"/>
        <v>#VALUE!</v>
      </c>
    </row>
    <row r="239" spans="30:35">
      <c r="AD239" s="78">
        <f t="shared" si="14"/>
        <v>1.5500000000000012</v>
      </c>
      <c r="AE239" s="54">
        <f t="shared" si="15"/>
        <v>0</v>
      </c>
      <c r="AF239" s="54">
        <f t="shared" si="16"/>
        <v>0</v>
      </c>
      <c r="AG239" s="54">
        <f t="shared" si="17"/>
        <v>0</v>
      </c>
      <c r="AH239" s="54">
        <f t="shared" si="18"/>
        <v>0</v>
      </c>
      <c r="AI239" s="54" t="e">
        <f t="shared" si="19"/>
        <v>#VALUE!</v>
      </c>
    </row>
    <row r="240" spans="30:35">
      <c r="AD240" s="78">
        <f t="shared" si="14"/>
        <v>1.5600000000000012</v>
      </c>
      <c r="AE240" s="54">
        <f t="shared" si="15"/>
        <v>0</v>
      </c>
      <c r="AF240" s="54">
        <f t="shared" si="16"/>
        <v>0</v>
      </c>
      <c r="AG240" s="54">
        <f t="shared" si="17"/>
        <v>0</v>
      </c>
      <c r="AH240" s="54">
        <f t="shared" si="18"/>
        <v>0</v>
      </c>
      <c r="AI240" s="54" t="e">
        <f t="shared" si="19"/>
        <v>#VALUE!</v>
      </c>
    </row>
    <row r="241" spans="30:35">
      <c r="AD241" s="78">
        <f t="shared" si="14"/>
        <v>1.5700000000000012</v>
      </c>
      <c r="AE241" s="54">
        <f t="shared" si="15"/>
        <v>0</v>
      </c>
      <c r="AF241" s="54">
        <f t="shared" si="16"/>
        <v>0</v>
      </c>
      <c r="AG241" s="54">
        <f t="shared" si="17"/>
        <v>0</v>
      </c>
      <c r="AH241" s="54">
        <f t="shared" si="18"/>
        <v>0</v>
      </c>
      <c r="AI241" s="54" t="e">
        <f t="shared" si="19"/>
        <v>#VALUE!</v>
      </c>
    </row>
    <row r="242" spans="30:35">
      <c r="AD242" s="78">
        <f t="shared" si="14"/>
        <v>1.5800000000000012</v>
      </c>
      <c r="AE242" s="54">
        <f t="shared" si="15"/>
        <v>0</v>
      </c>
      <c r="AF242" s="54">
        <f t="shared" si="16"/>
        <v>0</v>
      </c>
      <c r="AG242" s="54">
        <f t="shared" si="17"/>
        <v>0</v>
      </c>
      <c r="AH242" s="54">
        <f t="shared" si="18"/>
        <v>0</v>
      </c>
      <c r="AI242" s="54" t="e">
        <f t="shared" si="19"/>
        <v>#VALUE!</v>
      </c>
    </row>
    <row r="243" spans="30:35">
      <c r="AD243" s="78">
        <f t="shared" si="14"/>
        <v>1.5900000000000012</v>
      </c>
      <c r="AE243" s="54">
        <f t="shared" si="15"/>
        <v>0</v>
      </c>
      <c r="AF243" s="54">
        <f t="shared" si="16"/>
        <v>0</v>
      </c>
      <c r="AG243" s="54">
        <f t="shared" si="17"/>
        <v>0</v>
      </c>
      <c r="AH243" s="54">
        <f t="shared" si="18"/>
        <v>0</v>
      </c>
      <c r="AI243" s="54" t="e">
        <f t="shared" si="19"/>
        <v>#VALUE!</v>
      </c>
    </row>
    <row r="244" spans="30:35">
      <c r="AD244" s="78">
        <f t="shared" si="14"/>
        <v>1.6000000000000012</v>
      </c>
      <c r="AE244" s="54">
        <f t="shared" si="15"/>
        <v>0</v>
      </c>
      <c r="AF244" s="54">
        <f t="shared" si="16"/>
        <v>0</v>
      </c>
      <c r="AG244" s="54">
        <f t="shared" si="17"/>
        <v>0</v>
      </c>
      <c r="AH244" s="54">
        <f t="shared" si="18"/>
        <v>0</v>
      </c>
      <c r="AI244" s="54" t="e">
        <f t="shared" si="19"/>
        <v>#VALUE!</v>
      </c>
    </row>
    <row r="245" spans="30:35">
      <c r="AD245" s="78">
        <f t="shared" si="14"/>
        <v>1.6100000000000012</v>
      </c>
      <c r="AE245" s="54">
        <f t="shared" si="15"/>
        <v>0</v>
      </c>
      <c r="AF245" s="54">
        <f t="shared" si="16"/>
        <v>0</v>
      </c>
      <c r="AG245" s="54">
        <f t="shared" si="17"/>
        <v>0</v>
      </c>
      <c r="AH245" s="54">
        <f t="shared" si="18"/>
        <v>0</v>
      </c>
      <c r="AI245" s="54" t="e">
        <f t="shared" si="19"/>
        <v>#VALUE!</v>
      </c>
    </row>
    <row r="246" spans="30:35">
      <c r="AD246" s="78">
        <f t="shared" si="14"/>
        <v>1.6200000000000012</v>
      </c>
      <c r="AE246" s="54">
        <f t="shared" si="15"/>
        <v>0</v>
      </c>
      <c r="AF246" s="54">
        <f t="shared" si="16"/>
        <v>0</v>
      </c>
      <c r="AG246" s="54">
        <f t="shared" si="17"/>
        <v>0</v>
      </c>
      <c r="AH246" s="54">
        <f t="shared" si="18"/>
        <v>0</v>
      </c>
      <c r="AI246" s="54" t="e">
        <f t="shared" si="19"/>
        <v>#VALUE!</v>
      </c>
    </row>
    <row r="247" spans="30:35">
      <c r="AD247" s="78">
        <f t="shared" ref="AD247:AD296" si="20">AD246+1/100</f>
        <v>1.6300000000000012</v>
      </c>
      <c r="AE247" s="54">
        <f t="shared" ref="AE247:AE296" si="21">SUM(AF247:AH247)</f>
        <v>0</v>
      </c>
      <c r="AF247" s="54">
        <f t="shared" ref="AF247:AF296" si="22">MAX(0,pseudoBeta(MAX(0,AD247-$C$89/52)/$C$92*52,$C$100,$C$101))*$C$97</f>
        <v>0</v>
      </c>
      <c r="AG247" s="54">
        <f t="shared" ref="AG247:AG296" si="23">MAX(0,pseudoBeta(MAX(0,AD247-$C$90/52)/$C$93*52,$C$102,$C$103))*$C$98</f>
        <v>0</v>
      </c>
      <c r="AH247" s="54">
        <f t="shared" ref="AH247:AH296" si="24">MAX(0,pseudoBeta(MAX(0,AD247-$C$91/52)/$C$95*52,$C$106,$C$107))*$C$99</f>
        <v>0</v>
      </c>
      <c r="AI247" s="54" t="e">
        <f t="shared" si="19"/>
        <v>#VALUE!</v>
      </c>
    </row>
    <row r="248" spans="30:35">
      <c r="AD248" s="78">
        <f t="shared" si="20"/>
        <v>1.6400000000000012</v>
      </c>
      <c r="AE248" s="54">
        <f t="shared" si="21"/>
        <v>0</v>
      </c>
      <c r="AF248" s="54">
        <f t="shared" si="22"/>
        <v>0</v>
      </c>
      <c r="AG248" s="54">
        <f t="shared" si="23"/>
        <v>0</v>
      </c>
      <c r="AH248" s="54">
        <f t="shared" si="24"/>
        <v>0</v>
      </c>
      <c r="AI248" s="54" t="e">
        <f t="shared" si="19"/>
        <v>#VALUE!</v>
      </c>
    </row>
    <row r="249" spans="30:35">
      <c r="AD249" s="78">
        <f t="shared" si="20"/>
        <v>1.6500000000000012</v>
      </c>
      <c r="AE249" s="54">
        <f t="shared" si="21"/>
        <v>0</v>
      </c>
      <c r="AF249" s="54">
        <f t="shared" si="22"/>
        <v>0</v>
      </c>
      <c r="AG249" s="54">
        <f t="shared" si="23"/>
        <v>0</v>
      </c>
      <c r="AH249" s="54">
        <f t="shared" si="24"/>
        <v>0</v>
      </c>
      <c r="AI249" s="54" t="e">
        <f t="shared" si="19"/>
        <v>#VALUE!</v>
      </c>
    </row>
    <row r="250" spans="30:35">
      <c r="AD250" s="78">
        <f t="shared" si="20"/>
        <v>1.6600000000000013</v>
      </c>
      <c r="AE250" s="54">
        <f t="shared" si="21"/>
        <v>0</v>
      </c>
      <c r="AF250" s="54">
        <f t="shared" si="22"/>
        <v>0</v>
      </c>
      <c r="AG250" s="54">
        <f t="shared" si="23"/>
        <v>0</v>
      </c>
      <c r="AH250" s="54">
        <f t="shared" si="24"/>
        <v>0</v>
      </c>
      <c r="AI250" s="54" t="e">
        <f t="shared" si="19"/>
        <v>#VALUE!</v>
      </c>
    </row>
    <row r="251" spans="30:35">
      <c r="AD251" s="78">
        <f t="shared" si="20"/>
        <v>1.6700000000000013</v>
      </c>
      <c r="AE251" s="54">
        <f t="shared" si="21"/>
        <v>0</v>
      </c>
      <c r="AF251" s="54">
        <f t="shared" si="22"/>
        <v>0</v>
      </c>
      <c r="AG251" s="54">
        <f t="shared" si="23"/>
        <v>0</v>
      </c>
      <c r="AH251" s="54">
        <f t="shared" si="24"/>
        <v>0</v>
      </c>
      <c r="AI251" s="54" t="e">
        <f t="shared" si="19"/>
        <v>#VALUE!</v>
      </c>
    </row>
    <row r="252" spans="30:35">
      <c r="AD252" s="78">
        <f t="shared" si="20"/>
        <v>1.6800000000000013</v>
      </c>
      <c r="AE252" s="54">
        <f t="shared" si="21"/>
        <v>0</v>
      </c>
      <c r="AF252" s="54">
        <f t="shared" si="22"/>
        <v>0</v>
      </c>
      <c r="AG252" s="54">
        <f t="shared" si="23"/>
        <v>0</v>
      </c>
      <c r="AH252" s="54">
        <f t="shared" si="24"/>
        <v>0</v>
      </c>
      <c r="AI252" s="54" t="e">
        <f t="shared" si="19"/>
        <v>#VALUE!</v>
      </c>
    </row>
    <row r="253" spans="30:35">
      <c r="AD253" s="78">
        <f t="shared" si="20"/>
        <v>1.6900000000000013</v>
      </c>
      <c r="AE253" s="54">
        <f t="shared" si="21"/>
        <v>0</v>
      </c>
      <c r="AF253" s="54">
        <f t="shared" si="22"/>
        <v>0</v>
      </c>
      <c r="AG253" s="54">
        <f t="shared" si="23"/>
        <v>0</v>
      </c>
      <c r="AH253" s="54">
        <f t="shared" si="24"/>
        <v>0</v>
      </c>
      <c r="AI253" s="54" t="e">
        <f t="shared" si="19"/>
        <v>#VALUE!</v>
      </c>
    </row>
    <row r="254" spans="30:35">
      <c r="AD254" s="78">
        <f t="shared" si="20"/>
        <v>1.7000000000000013</v>
      </c>
      <c r="AE254" s="54">
        <f t="shared" si="21"/>
        <v>0</v>
      </c>
      <c r="AF254" s="54">
        <f t="shared" si="22"/>
        <v>0</v>
      </c>
      <c r="AG254" s="54">
        <f t="shared" si="23"/>
        <v>0</v>
      </c>
      <c r="AH254" s="54">
        <f t="shared" si="24"/>
        <v>0</v>
      </c>
      <c r="AI254" s="54" t="e">
        <f t="shared" si="19"/>
        <v>#VALUE!</v>
      </c>
    </row>
    <row r="255" spans="30:35">
      <c r="AD255" s="78">
        <f t="shared" si="20"/>
        <v>1.7100000000000013</v>
      </c>
      <c r="AE255" s="54">
        <f t="shared" si="21"/>
        <v>0</v>
      </c>
      <c r="AF255" s="54">
        <f t="shared" si="22"/>
        <v>0</v>
      </c>
      <c r="AG255" s="54">
        <f t="shared" si="23"/>
        <v>0</v>
      </c>
      <c r="AH255" s="54">
        <f t="shared" si="24"/>
        <v>0</v>
      </c>
      <c r="AI255" s="54" t="e">
        <f t="shared" si="19"/>
        <v>#VALUE!</v>
      </c>
    </row>
    <row r="256" spans="30:35">
      <c r="AD256" s="78">
        <f t="shared" si="20"/>
        <v>1.7200000000000013</v>
      </c>
      <c r="AE256" s="54">
        <f t="shared" si="21"/>
        <v>0</v>
      </c>
      <c r="AF256" s="54">
        <f t="shared" si="22"/>
        <v>0</v>
      </c>
      <c r="AG256" s="54">
        <f t="shared" si="23"/>
        <v>0</v>
      </c>
      <c r="AH256" s="54">
        <f t="shared" si="24"/>
        <v>0</v>
      </c>
      <c r="AI256" s="54" t="e">
        <f t="shared" si="19"/>
        <v>#VALUE!</v>
      </c>
    </row>
    <row r="257" spans="30:35">
      <c r="AD257" s="78">
        <f t="shared" si="20"/>
        <v>1.7300000000000013</v>
      </c>
      <c r="AE257" s="54">
        <f t="shared" si="21"/>
        <v>0</v>
      </c>
      <c r="AF257" s="54">
        <f t="shared" si="22"/>
        <v>0</v>
      </c>
      <c r="AG257" s="54">
        <f t="shared" si="23"/>
        <v>0</v>
      </c>
      <c r="AH257" s="54">
        <f t="shared" si="24"/>
        <v>0</v>
      </c>
      <c r="AI257" s="54" t="e">
        <f t="shared" si="19"/>
        <v>#VALUE!</v>
      </c>
    </row>
    <row r="258" spans="30:35">
      <c r="AD258" s="78">
        <f t="shared" si="20"/>
        <v>1.7400000000000013</v>
      </c>
      <c r="AE258" s="54">
        <f t="shared" si="21"/>
        <v>0</v>
      </c>
      <c r="AF258" s="54">
        <f t="shared" si="22"/>
        <v>0</v>
      </c>
      <c r="AG258" s="54">
        <f t="shared" si="23"/>
        <v>0</v>
      </c>
      <c r="AH258" s="54">
        <f t="shared" si="24"/>
        <v>0</v>
      </c>
      <c r="AI258" s="54" t="e">
        <f t="shared" si="19"/>
        <v>#VALUE!</v>
      </c>
    </row>
    <row r="259" spans="30:35">
      <c r="AD259" s="78">
        <f t="shared" si="20"/>
        <v>1.7500000000000013</v>
      </c>
      <c r="AE259" s="54">
        <f t="shared" si="21"/>
        <v>0</v>
      </c>
      <c r="AF259" s="54">
        <f t="shared" si="22"/>
        <v>0</v>
      </c>
      <c r="AG259" s="54">
        <f t="shared" si="23"/>
        <v>0</v>
      </c>
      <c r="AH259" s="54">
        <f t="shared" si="24"/>
        <v>0</v>
      </c>
      <c r="AI259" s="54" t="e">
        <f t="shared" si="19"/>
        <v>#VALUE!</v>
      </c>
    </row>
    <row r="260" spans="30:35">
      <c r="AD260" s="78">
        <f t="shared" si="20"/>
        <v>1.7600000000000013</v>
      </c>
      <c r="AE260" s="54">
        <f t="shared" si="21"/>
        <v>0</v>
      </c>
      <c r="AF260" s="54">
        <f t="shared" si="22"/>
        <v>0</v>
      </c>
      <c r="AG260" s="54">
        <f t="shared" si="23"/>
        <v>0</v>
      </c>
      <c r="AH260" s="54">
        <f t="shared" si="24"/>
        <v>0</v>
      </c>
      <c r="AI260" s="54" t="e">
        <f t="shared" si="19"/>
        <v>#VALUE!</v>
      </c>
    </row>
    <row r="261" spans="30:35">
      <c r="AD261" s="78">
        <f t="shared" si="20"/>
        <v>1.7700000000000014</v>
      </c>
      <c r="AE261" s="54">
        <f t="shared" si="21"/>
        <v>0</v>
      </c>
      <c r="AF261" s="54">
        <f t="shared" si="22"/>
        <v>0</v>
      </c>
      <c r="AG261" s="54">
        <f t="shared" si="23"/>
        <v>0</v>
      </c>
      <c r="AH261" s="54">
        <f t="shared" si="24"/>
        <v>0</v>
      </c>
      <c r="AI261" s="54" t="e">
        <f t="shared" si="19"/>
        <v>#VALUE!</v>
      </c>
    </row>
    <row r="262" spans="30:35">
      <c r="AD262" s="78">
        <f t="shared" si="20"/>
        <v>1.7800000000000014</v>
      </c>
      <c r="AE262" s="54">
        <f t="shared" si="21"/>
        <v>0</v>
      </c>
      <c r="AF262" s="54">
        <f t="shared" si="22"/>
        <v>0</v>
      </c>
      <c r="AG262" s="54">
        <f t="shared" si="23"/>
        <v>0</v>
      </c>
      <c r="AH262" s="54">
        <f t="shared" si="24"/>
        <v>0</v>
      </c>
      <c r="AI262" s="54" t="e">
        <f t="shared" si="19"/>
        <v>#VALUE!</v>
      </c>
    </row>
    <row r="263" spans="30:35">
      <c r="AD263" s="78">
        <f t="shared" si="20"/>
        <v>1.7900000000000014</v>
      </c>
      <c r="AE263" s="54">
        <f t="shared" si="21"/>
        <v>0</v>
      </c>
      <c r="AF263" s="54">
        <f t="shared" si="22"/>
        <v>0</v>
      </c>
      <c r="AG263" s="54">
        <f t="shared" si="23"/>
        <v>0</v>
      </c>
      <c r="AH263" s="54">
        <f t="shared" si="24"/>
        <v>0</v>
      </c>
      <c r="AI263" s="54" t="e">
        <f t="shared" si="19"/>
        <v>#VALUE!</v>
      </c>
    </row>
    <row r="264" spans="30:35">
      <c r="AD264" s="78">
        <f t="shared" si="20"/>
        <v>1.8000000000000014</v>
      </c>
      <c r="AE264" s="54">
        <f t="shared" si="21"/>
        <v>0</v>
      </c>
      <c r="AF264" s="54">
        <f t="shared" si="22"/>
        <v>0</v>
      </c>
      <c r="AG264" s="54">
        <f t="shared" si="23"/>
        <v>0</v>
      </c>
      <c r="AH264" s="54">
        <f t="shared" si="24"/>
        <v>0</v>
      </c>
      <c r="AI264" s="54" t="e">
        <f t="shared" si="19"/>
        <v>#VALUE!</v>
      </c>
    </row>
    <row r="265" spans="30:35">
      <c r="AD265" s="78">
        <f t="shared" si="20"/>
        <v>1.8100000000000014</v>
      </c>
      <c r="AE265" s="54">
        <f t="shared" si="21"/>
        <v>0</v>
      </c>
      <c r="AF265" s="54">
        <f t="shared" si="22"/>
        <v>0</v>
      </c>
      <c r="AG265" s="54">
        <f t="shared" si="23"/>
        <v>0</v>
      </c>
      <c r="AH265" s="54">
        <f t="shared" si="24"/>
        <v>0</v>
      </c>
      <c r="AI265" s="54" t="e">
        <f t="shared" si="19"/>
        <v>#VALUE!</v>
      </c>
    </row>
    <row r="266" spans="30:35">
      <c r="AD266" s="78">
        <f t="shared" si="20"/>
        <v>1.8200000000000014</v>
      </c>
      <c r="AE266" s="54">
        <f t="shared" si="21"/>
        <v>0</v>
      </c>
      <c r="AF266" s="54">
        <f t="shared" si="22"/>
        <v>0</v>
      </c>
      <c r="AG266" s="54">
        <f t="shared" si="23"/>
        <v>0</v>
      </c>
      <c r="AH266" s="54">
        <f t="shared" si="24"/>
        <v>0</v>
      </c>
      <c r="AI266" s="54" t="e">
        <f t="shared" si="19"/>
        <v>#VALUE!</v>
      </c>
    </row>
    <row r="267" spans="30:35">
      <c r="AD267" s="78">
        <f t="shared" si="20"/>
        <v>1.8300000000000014</v>
      </c>
      <c r="AE267" s="54">
        <f t="shared" si="21"/>
        <v>0</v>
      </c>
      <c r="AF267" s="54">
        <f t="shared" si="22"/>
        <v>0</v>
      </c>
      <c r="AG267" s="54">
        <f t="shared" si="23"/>
        <v>0</v>
      </c>
      <c r="AH267" s="54">
        <f t="shared" si="24"/>
        <v>0</v>
      </c>
      <c r="AI267" s="54" t="e">
        <f t="shared" si="19"/>
        <v>#VALUE!</v>
      </c>
    </row>
    <row r="268" spans="30:35">
      <c r="AD268" s="78">
        <f t="shared" si="20"/>
        <v>1.8400000000000014</v>
      </c>
      <c r="AE268" s="54">
        <f t="shared" si="21"/>
        <v>0</v>
      </c>
      <c r="AF268" s="54">
        <f t="shared" si="22"/>
        <v>0</v>
      </c>
      <c r="AG268" s="54">
        <f t="shared" si="23"/>
        <v>0</v>
      </c>
      <c r="AH268" s="54">
        <f t="shared" si="24"/>
        <v>0</v>
      </c>
      <c r="AI268" s="54" t="e">
        <f t="shared" si="19"/>
        <v>#VALUE!</v>
      </c>
    </row>
    <row r="269" spans="30:35">
      <c r="AD269" s="78">
        <f t="shared" si="20"/>
        <v>1.8500000000000014</v>
      </c>
      <c r="AE269" s="54">
        <f t="shared" si="21"/>
        <v>0</v>
      </c>
      <c r="AF269" s="54">
        <f t="shared" si="22"/>
        <v>0</v>
      </c>
      <c r="AG269" s="54">
        <f t="shared" si="23"/>
        <v>0</v>
      </c>
      <c r="AH269" s="54">
        <f t="shared" si="24"/>
        <v>0</v>
      </c>
      <c r="AI269" s="54" t="e">
        <f t="shared" si="19"/>
        <v>#VALUE!</v>
      </c>
    </row>
    <row r="270" spans="30:35">
      <c r="AD270" s="78">
        <f t="shared" si="20"/>
        <v>1.8600000000000014</v>
      </c>
      <c r="AE270" s="54">
        <f t="shared" si="21"/>
        <v>0</v>
      </c>
      <c r="AF270" s="54">
        <f t="shared" si="22"/>
        <v>0</v>
      </c>
      <c r="AG270" s="54">
        <f t="shared" si="23"/>
        <v>0</v>
      </c>
      <c r="AH270" s="54">
        <f t="shared" si="24"/>
        <v>0</v>
      </c>
      <c r="AI270" s="54" t="e">
        <f t="shared" si="19"/>
        <v>#VALUE!</v>
      </c>
    </row>
    <row r="271" spans="30:35">
      <c r="AD271" s="78">
        <f t="shared" si="20"/>
        <v>1.8700000000000014</v>
      </c>
      <c r="AE271" s="54">
        <f t="shared" si="21"/>
        <v>0</v>
      </c>
      <c r="AF271" s="54">
        <f t="shared" si="22"/>
        <v>0</v>
      </c>
      <c r="AG271" s="54">
        <f t="shared" si="23"/>
        <v>0</v>
      </c>
      <c r="AH271" s="54">
        <f t="shared" si="24"/>
        <v>0</v>
      </c>
      <c r="AI271" s="54" t="e">
        <f t="shared" si="19"/>
        <v>#VALUE!</v>
      </c>
    </row>
    <row r="272" spans="30:35">
      <c r="AD272" s="78">
        <f t="shared" si="20"/>
        <v>1.8800000000000014</v>
      </c>
      <c r="AE272" s="54">
        <f t="shared" si="21"/>
        <v>0</v>
      </c>
      <c r="AF272" s="54">
        <f t="shared" si="22"/>
        <v>0</v>
      </c>
      <c r="AG272" s="54">
        <f t="shared" si="23"/>
        <v>0</v>
      </c>
      <c r="AH272" s="54">
        <f t="shared" si="24"/>
        <v>0</v>
      </c>
      <c r="AI272" s="54" t="e">
        <f t="shared" si="19"/>
        <v>#VALUE!</v>
      </c>
    </row>
    <row r="273" spans="30:35">
      <c r="AD273" s="78">
        <f t="shared" si="20"/>
        <v>1.8900000000000015</v>
      </c>
      <c r="AE273" s="54">
        <f t="shared" si="21"/>
        <v>0</v>
      </c>
      <c r="AF273" s="54">
        <f t="shared" si="22"/>
        <v>0</v>
      </c>
      <c r="AG273" s="54">
        <f t="shared" si="23"/>
        <v>0</v>
      </c>
      <c r="AH273" s="54">
        <f t="shared" si="24"/>
        <v>0</v>
      </c>
      <c r="AI273" s="54" t="e">
        <f t="shared" si="19"/>
        <v>#VALUE!</v>
      </c>
    </row>
    <row r="274" spans="30:35">
      <c r="AD274" s="78">
        <f t="shared" si="20"/>
        <v>1.9000000000000015</v>
      </c>
      <c r="AE274" s="54">
        <f t="shared" si="21"/>
        <v>0</v>
      </c>
      <c r="AF274" s="54">
        <f t="shared" si="22"/>
        <v>0</v>
      </c>
      <c r="AG274" s="54">
        <f t="shared" si="23"/>
        <v>0</v>
      </c>
      <c r="AH274" s="54">
        <f t="shared" si="24"/>
        <v>0</v>
      </c>
      <c r="AI274" s="54" t="e">
        <f t="shared" si="19"/>
        <v>#VALUE!</v>
      </c>
    </row>
    <row r="275" spans="30:35">
      <c r="AD275" s="78">
        <f t="shared" si="20"/>
        <v>1.9100000000000015</v>
      </c>
      <c r="AE275" s="54">
        <f t="shared" si="21"/>
        <v>0</v>
      </c>
      <c r="AF275" s="54">
        <f t="shared" si="22"/>
        <v>0</v>
      </c>
      <c r="AG275" s="54">
        <f t="shared" si="23"/>
        <v>0</v>
      </c>
      <c r="AH275" s="54">
        <f t="shared" si="24"/>
        <v>0</v>
      </c>
      <c r="AI275" s="54" t="e">
        <f t="shared" si="19"/>
        <v>#VALUE!</v>
      </c>
    </row>
    <row r="276" spans="30:35">
      <c r="AD276" s="78">
        <f t="shared" si="20"/>
        <v>1.9200000000000015</v>
      </c>
      <c r="AE276" s="54">
        <f t="shared" si="21"/>
        <v>0</v>
      </c>
      <c r="AF276" s="54">
        <f t="shared" si="22"/>
        <v>0</v>
      </c>
      <c r="AG276" s="54">
        <f t="shared" si="23"/>
        <v>0</v>
      </c>
      <c r="AH276" s="54">
        <f t="shared" si="24"/>
        <v>0</v>
      </c>
      <c r="AI276" s="54" t="e">
        <f t="shared" si="19"/>
        <v>#VALUE!</v>
      </c>
    </row>
    <row r="277" spans="30:35">
      <c r="AD277" s="78">
        <f t="shared" si="20"/>
        <v>1.9300000000000015</v>
      </c>
      <c r="AE277" s="54">
        <f t="shared" si="21"/>
        <v>0</v>
      </c>
      <c r="AF277" s="54">
        <f t="shared" si="22"/>
        <v>0</v>
      </c>
      <c r="AG277" s="54">
        <f t="shared" si="23"/>
        <v>0</v>
      </c>
      <c r="AH277" s="54">
        <f t="shared" si="24"/>
        <v>0</v>
      </c>
      <c r="AI277" s="54" t="e">
        <f t="shared" ref="AI277:AI296" si="25">MAX(0,pseudoBeta(MAX(0,AD277-$C$90/52)/$C$94*52,$C$104,$C$105))</f>
        <v>#VALUE!</v>
      </c>
    </row>
    <row r="278" spans="30:35">
      <c r="AD278" s="78">
        <f t="shared" si="20"/>
        <v>1.9400000000000015</v>
      </c>
      <c r="AE278" s="54">
        <f t="shared" si="21"/>
        <v>0</v>
      </c>
      <c r="AF278" s="54">
        <f t="shared" si="22"/>
        <v>0</v>
      </c>
      <c r="AG278" s="54">
        <f t="shared" si="23"/>
        <v>0</v>
      </c>
      <c r="AH278" s="54">
        <f t="shared" si="24"/>
        <v>0</v>
      </c>
      <c r="AI278" s="54" t="e">
        <f t="shared" si="25"/>
        <v>#VALUE!</v>
      </c>
    </row>
    <row r="279" spans="30:35">
      <c r="AD279" s="78">
        <f t="shared" si="20"/>
        <v>1.9500000000000015</v>
      </c>
      <c r="AE279" s="54">
        <f t="shared" si="21"/>
        <v>0</v>
      </c>
      <c r="AF279" s="54">
        <f t="shared" si="22"/>
        <v>0</v>
      </c>
      <c r="AG279" s="54">
        <f t="shared" si="23"/>
        <v>0</v>
      </c>
      <c r="AH279" s="54">
        <f t="shared" si="24"/>
        <v>0</v>
      </c>
      <c r="AI279" s="54" t="e">
        <f t="shared" si="25"/>
        <v>#VALUE!</v>
      </c>
    </row>
    <row r="280" spans="30:35">
      <c r="AD280" s="78">
        <f t="shared" si="20"/>
        <v>1.9600000000000015</v>
      </c>
      <c r="AE280" s="54">
        <f t="shared" si="21"/>
        <v>0</v>
      </c>
      <c r="AF280" s="54">
        <f t="shared" si="22"/>
        <v>0</v>
      </c>
      <c r="AG280" s="54">
        <f t="shared" si="23"/>
        <v>0</v>
      </c>
      <c r="AH280" s="54">
        <f t="shared" si="24"/>
        <v>0</v>
      </c>
      <c r="AI280" s="54" t="e">
        <f t="shared" si="25"/>
        <v>#VALUE!</v>
      </c>
    </row>
    <row r="281" spans="30:35">
      <c r="AD281" s="78">
        <f t="shared" si="20"/>
        <v>1.9700000000000015</v>
      </c>
      <c r="AE281" s="54">
        <f t="shared" si="21"/>
        <v>0</v>
      </c>
      <c r="AF281" s="54">
        <f t="shared" si="22"/>
        <v>0</v>
      </c>
      <c r="AG281" s="54">
        <f t="shared" si="23"/>
        <v>0</v>
      </c>
      <c r="AH281" s="54">
        <f t="shared" si="24"/>
        <v>0</v>
      </c>
      <c r="AI281" s="54" t="e">
        <f t="shared" si="25"/>
        <v>#VALUE!</v>
      </c>
    </row>
    <row r="282" spans="30:35">
      <c r="AD282" s="78">
        <f t="shared" si="20"/>
        <v>1.9800000000000015</v>
      </c>
      <c r="AE282" s="54">
        <f t="shared" si="21"/>
        <v>0</v>
      </c>
      <c r="AF282" s="54">
        <f t="shared" si="22"/>
        <v>0</v>
      </c>
      <c r="AG282" s="54">
        <f t="shared" si="23"/>
        <v>0</v>
      </c>
      <c r="AH282" s="54">
        <f t="shared" si="24"/>
        <v>0</v>
      </c>
      <c r="AI282" s="54" t="e">
        <f t="shared" si="25"/>
        <v>#VALUE!</v>
      </c>
    </row>
    <row r="283" spans="30:35">
      <c r="AD283" s="78">
        <f t="shared" si="20"/>
        <v>1.9900000000000015</v>
      </c>
      <c r="AE283" s="54">
        <f t="shared" si="21"/>
        <v>0</v>
      </c>
      <c r="AF283" s="54">
        <f t="shared" si="22"/>
        <v>0</v>
      </c>
      <c r="AG283" s="54">
        <f t="shared" si="23"/>
        <v>0</v>
      </c>
      <c r="AH283" s="54">
        <f t="shared" si="24"/>
        <v>0</v>
      </c>
      <c r="AI283" s="54" t="e">
        <f t="shared" si="25"/>
        <v>#VALUE!</v>
      </c>
    </row>
    <row r="284" spans="30:35">
      <c r="AD284" s="78">
        <f t="shared" si="20"/>
        <v>2.0000000000000013</v>
      </c>
      <c r="AE284" s="54">
        <f t="shared" si="21"/>
        <v>0</v>
      </c>
      <c r="AF284" s="54">
        <f t="shared" si="22"/>
        <v>0</v>
      </c>
      <c r="AG284" s="54">
        <f t="shared" si="23"/>
        <v>0</v>
      </c>
      <c r="AH284" s="54">
        <f t="shared" si="24"/>
        <v>0</v>
      </c>
      <c r="AI284" s="54" t="e">
        <f t="shared" si="25"/>
        <v>#VALUE!</v>
      </c>
    </row>
    <row r="285" spans="30:35">
      <c r="AD285" s="78">
        <f t="shared" si="20"/>
        <v>2.0100000000000011</v>
      </c>
      <c r="AE285" s="54">
        <f t="shared" si="21"/>
        <v>0</v>
      </c>
      <c r="AF285" s="54">
        <f t="shared" si="22"/>
        <v>0</v>
      </c>
      <c r="AG285" s="54">
        <f t="shared" si="23"/>
        <v>0</v>
      </c>
      <c r="AH285" s="54">
        <f t="shared" si="24"/>
        <v>0</v>
      </c>
      <c r="AI285" s="54" t="e">
        <f t="shared" si="25"/>
        <v>#VALUE!</v>
      </c>
    </row>
    <row r="286" spans="30:35">
      <c r="AD286" s="78">
        <f t="shared" si="20"/>
        <v>2.0200000000000009</v>
      </c>
      <c r="AE286" s="54">
        <f t="shared" si="21"/>
        <v>0</v>
      </c>
      <c r="AF286" s="54">
        <f t="shared" si="22"/>
        <v>0</v>
      </c>
      <c r="AG286" s="54">
        <f t="shared" si="23"/>
        <v>0</v>
      </c>
      <c r="AH286" s="54">
        <f t="shared" si="24"/>
        <v>0</v>
      </c>
      <c r="AI286" s="54" t="e">
        <f t="shared" si="25"/>
        <v>#VALUE!</v>
      </c>
    </row>
    <row r="287" spans="30:35">
      <c r="AD287" s="78">
        <f t="shared" si="20"/>
        <v>2.0300000000000007</v>
      </c>
      <c r="AE287" s="54">
        <f t="shared" si="21"/>
        <v>0</v>
      </c>
      <c r="AF287" s="54">
        <f t="shared" si="22"/>
        <v>0</v>
      </c>
      <c r="AG287" s="54">
        <f t="shared" si="23"/>
        <v>0</v>
      </c>
      <c r="AH287" s="54">
        <f t="shared" si="24"/>
        <v>0</v>
      </c>
      <c r="AI287" s="54" t="e">
        <f t="shared" si="25"/>
        <v>#VALUE!</v>
      </c>
    </row>
    <row r="288" spans="30:35">
      <c r="AD288" s="78">
        <f t="shared" si="20"/>
        <v>2.0400000000000005</v>
      </c>
      <c r="AE288" s="54">
        <f t="shared" si="21"/>
        <v>0</v>
      </c>
      <c r="AF288" s="54">
        <f t="shared" si="22"/>
        <v>0</v>
      </c>
      <c r="AG288" s="54">
        <f t="shared" si="23"/>
        <v>0</v>
      </c>
      <c r="AH288" s="54">
        <f t="shared" si="24"/>
        <v>0</v>
      </c>
      <c r="AI288" s="54" t="e">
        <f t="shared" si="25"/>
        <v>#VALUE!</v>
      </c>
    </row>
    <row r="289" spans="30:35">
      <c r="AD289" s="78">
        <f t="shared" si="20"/>
        <v>2.0500000000000003</v>
      </c>
      <c r="AE289" s="54">
        <f t="shared" si="21"/>
        <v>0</v>
      </c>
      <c r="AF289" s="54">
        <f t="shared" si="22"/>
        <v>0</v>
      </c>
      <c r="AG289" s="54">
        <f t="shared" si="23"/>
        <v>0</v>
      </c>
      <c r="AH289" s="54">
        <f t="shared" si="24"/>
        <v>0</v>
      </c>
      <c r="AI289" s="54" t="e">
        <f t="shared" si="25"/>
        <v>#VALUE!</v>
      </c>
    </row>
    <row r="290" spans="30:35">
      <c r="AD290" s="78">
        <f t="shared" si="20"/>
        <v>2.06</v>
      </c>
      <c r="AE290" s="54">
        <f t="shared" si="21"/>
        <v>0</v>
      </c>
      <c r="AF290" s="54">
        <f t="shared" si="22"/>
        <v>0</v>
      </c>
      <c r="AG290" s="54">
        <f t="shared" si="23"/>
        <v>0</v>
      </c>
      <c r="AH290" s="54">
        <f t="shared" si="24"/>
        <v>0</v>
      </c>
      <c r="AI290" s="54" t="e">
        <f t="shared" si="25"/>
        <v>#VALUE!</v>
      </c>
    </row>
    <row r="291" spans="30:35">
      <c r="AD291" s="78">
        <f t="shared" si="20"/>
        <v>2.0699999999999998</v>
      </c>
      <c r="AE291" s="54">
        <f t="shared" si="21"/>
        <v>0</v>
      </c>
      <c r="AF291" s="54">
        <f t="shared" si="22"/>
        <v>0</v>
      </c>
      <c r="AG291" s="54">
        <f t="shared" si="23"/>
        <v>0</v>
      </c>
      <c r="AH291" s="54">
        <f t="shared" si="24"/>
        <v>0</v>
      </c>
      <c r="AI291" s="54" t="e">
        <f t="shared" si="25"/>
        <v>#VALUE!</v>
      </c>
    </row>
    <row r="292" spans="30:35">
      <c r="AD292" s="78">
        <f t="shared" si="20"/>
        <v>2.0799999999999996</v>
      </c>
      <c r="AE292" s="54">
        <f t="shared" si="21"/>
        <v>0</v>
      </c>
      <c r="AF292" s="54">
        <f t="shared" si="22"/>
        <v>0</v>
      </c>
      <c r="AG292" s="54">
        <f t="shared" si="23"/>
        <v>0</v>
      </c>
      <c r="AH292" s="54">
        <f t="shared" si="24"/>
        <v>0</v>
      </c>
      <c r="AI292" s="54" t="e">
        <f t="shared" si="25"/>
        <v>#VALUE!</v>
      </c>
    </row>
    <row r="293" spans="30:35">
      <c r="AD293" s="78">
        <f t="shared" si="20"/>
        <v>2.0899999999999994</v>
      </c>
      <c r="AE293" s="54">
        <f t="shared" si="21"/>
        <v>0</v>
      </c>
      <c r="AF293" s="54">
        <f t="shared" si="22"/>
        <v>0</v>
      </c>
      <c r="AG293" s="54">
        <f t="shared" si="23"/>
        <v>0</v>
      </c>
      <c r="AH293" s="54">
        <f t="shared" si="24"/>
        <v>0</v>
      </c>
      <c r="AI293" s="54" t="e">
        <f t="shared" si="25"/>
        <v>#VALUE!</v>
      </c>
    </row>
    <row r="294" spans="30:35">
      <c r="AD294" s="78">
        <f t="shared" si="20"/>
        <v>2.0999999999999992</v>
      </c>
      <c r="AE294" s="54">
        <f t="shared" si="21"/>
        <v>0</v>
      </c>
      <c r="AF294" s="54">
        <f t="shared" si="22"/>
        <v>0</v>
      </c>
      <c r="AG294" s="54">
        <f t="shared" si="23"/>
        <v>0</v>
      </c>
      <c r="AH294" s="54">
        <f t="shared" si="24"/>
        <v>0</v>
      </c>
      <c r="AI294" s="54" t="e">
        <f t="shared" si="25"/>
        <v>#VALUE!</v>
      </c>
    </row>
    <row r="295" spans="30:35">
      <c r="AD295" s="78">
        <f t="shared" si="20"/>
        <v>2.109999999999999</v>
      </c>
      <c r="AE295" s="54">
        <f t="shared" si="21"/>
        <v>0</v>
      </c>
      <c r="AF295" s="54">
        <f t="shared" si="22"/>
        <v>0</v>
      </c>
      <c r="AG295" s="54">
        <f t="shared" si="23"/>
        <v>0</v>
      </c>
      <c r="AH295" s="54">
        <f t="shared" si="24"/>
        <v>0</v>
      </c>
      <c r="AI295" s="54" t="e">
        <f t="shared" si="25"/>
        <v>#VALUE!</v>
      </c>
    </row>
    <row r="296" spans="30:35">
      <c r="AD296" s="78">
        <f t="shared" si="20"/>
        <v>2.1199999999999988</v>
      </c>
      <c r="AE296" s="54">
        <f t="shared" si="21"/>
        <v>0</v>
      </c>
      <c r="AF296" s="54">
        <f t="shared" si="22"/>
        <v>0</v>
      </c>
      <c r="AG296" s="54">
        <f t="shared" si="23"/>
        <v>0</v>
      </c>
      <c r="AH296" s="54">
        <f t="shared" si="24"/>
        <v>0</v>
      </c>
      <c r="AI296" s="54" t="e">
        <f t="shared" si="25"/>
        <v>#VALUE!</v>
      </c>
    </row>
  </sheetData>
  <conditionalFormatting sqref="C6:C15">
    <cfRule type="cellIs" dxfId="26" priority="2" operator="equal">
      <formula>1</formula>
    </cfRule>
  </conditionalFormatting>
  <conditionalFormatting sqref="L6:L29">
    <cfRule type="cellIs" dxfId="25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FFFF00"/>
  </sheetPr>
  <dimension ref="A1:AD138"/>
  <sheetViews>
    <sheetView showGridLines="0" showRuler="0" workbookViewId="0">
      <selection activeCell="J11" sqref="J11:K22"/>
    </sheetView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34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48">
        <v>42346.520520833335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33</v>
      </c>
      <c r="D10" s="5"/>
      <c r="E10" s="24"/>
      <c r="F10" s="6" t="s">
        <v>44</v>
      </c>
      <c r="G10" s="5"/>
      <c r="J10" s="6" t="s">
        <v>57</v>
      </c>
      <c r="K10" s="5"/>
      <c r="L10" s="24"/>
    </row>
    <row r="11" spans="1:12">
      <c r="C11" s="3" t="s">
        <v>18</v>
      </c>
      <c r="D11" s="4">
        <v>2</v>
      </c>
      <c r="E11" s="24">
        <v>1.6</v>
      </c>
      <c r="F11" s="3" t="s">
        <v>35</v>
      </c>
      <c r="G11" s="4">
        <v>0.05</v>
      </c>
      <c r="H11" s="1">
        <v>0.05</v>
      </c>
      <c r="J11" s="3" t="s">
        <v>45</v>
      </c>
      <c r="K11" s="4">
        <v>0.1</v>
      </c>
      <c r="L11" s="24">
        <v>0.4</v>
      </c>
    </row>
    <row r="12" spans="1:12">
      <c r="C12" s="3" t="s">
        <v>19</v>
      </c>
      <c r="D12" s="4">
        <v>19</v>
      </c>
      <c r="E12" s="24">
        <v>19</v>
      </c>
      <c r="F12" s="3" t="s">
        <v>36</v>
      </c>
      <c r="G12" s="4">
        <v>16.600000000000001</v>
      </c>
      <c r="H12" s="1">
        <v>16.600000000000001</v>
      </c>
      <c r="J12" s="3" t="s">
        <v>46</v>
      </c>
      <c r="K12" s="4">
        <v>0.06</v>
      </c>
      <c r="L12" s="24">
        <v>0.06</v>
      </c>
    </row>
    <row r="13" spans="1:12">
      <c r="C13" s="3" t="s">
        <v>20</v>
      </c>
      <c r="D13" s="4">
        <v>43</v>
      </c>
      <c r="E13" s="24">
        <v>43</v>
      </c>
      <c r="F13" s="3" t="s">
        <v>37</v>
      </c>
      <c r="G13" s="4">
        <v>9.25</v>
      </c>
      <c r="H13" s="1">
        <v>9.25</v>
      </c>
      <c r="J13" s="35" t="s">
        <v>47</v>
      </c>
      <c r="K13" s="36">
        <v>0.7</v>
      </c>
      <c r="L13" s="24">
        <v>0.7</v>
      </c>
    </row>
    <row r="14" spans="1:12">
      <c r="C14" s="3" t="s">
        <v>21</v>
      </c>
      <c r="D14" s="4">
        <v>0.27</v>
      </c>
      <c r="E14" s="24">
        <v>0.27</v>
      </c>
      <c r="F14" s="3" t="s">
        <v>38</v>
      </c>
      <c r="G14" s="4">
        <v>4.75</v>
      </c>
      <c r="H14" s="1">
        <v>4.75</v>
      </c>
      <c r="J14" s="16" t="s">
        <v>48</v>
      </c>
      <c r="K14" s="17">
        <v>0.32400000000000001</v>
      </c>
      <c r="L14" s="24">
        <v>0.32400000000000001</v>
      </c>
    </row>
    <row r="15" spans="1:12">
      <c r="C15" s="3" t="s">
        <v>22</v>
      </c>
      <c r="D15" s="4">
        <v>0.1</v>
      </c>
      <c r="E15" s="24">
        <v>0.1</v>
      </c>
      <c r="F15" s="3" t="s">
        <v>39</v>
      </c>
      <c r="G15" s="4">
        <v>14.2</v>
      </c>
      <c r="H15" s="1">
        <v>14.2</v>
      </c>
      <c r="J15" s="18" t="s">
        <v>49</v>
      </c>
      <c r="K15" s="19">
        <v>0.68979999999999997</v>
      </c>
      <c r="L15" s="24">
        <v>0.68979999999999997</v>
      </c>
    </row>
    <row r="16" spans="1:12">
      <c r="C16" s="3" t="s">
        <v>23</v>
      </c>
      <c r="D16" s="4">
        <v>10</v>
      </c>
      <c r="E16" s="24">
        <v>10</v>
      </c>
      <c r="F16" s="3" t="s">
        <v>40</v>
      </c>
      <c r="G16" s="4">
        <v>5.33</v>
      </c>
      <c r="H16" s="1">
        <v>5.33</v>
      </c>
      <c r="J16" s="20" t="s">
        <v>50</v>
      </c>
      <c r="K16" s="21">
        <v>0.15</v>
      </c>
      <c r="L16" s="24">
        <v>0.15</v>
      </c>
    </row>
    <row r="17" spans="3:23">
      <c r="C17" s="3" t="s">
        <v>24</v>
      </c>
      <c r="D17" s="4">
        <v>-7</v>
      </c>
      <c r="E17" s="24">
        <v>-7</v>
      </c>
      <c r="F17" s="3" t="s">
        <v>41</v>
      </c>
      <c r="G17" s="4">
        <v>3.33</v>
      </c>
      <c r="H17" s="1">
        <v>3.33</v>
      </c>
      <c r="J17" s="16" t="s">
        <v>51</v>
      </c>
      <c r="K17" s="17">
        <v>75.900000000000006</v>
      </c>
      <c r="L17" s="24">
        <v>75.900000000000006</v>
      </c>
    </row>
    <row r="18" spans="3:23">
      <c r="C18" s="3" t="s">
        <v>25</v>
      </c>
      <c r="D18" s="4">
        <v>5</v>
      </c>
      <c r="E18" s="24">
        <v>5</v>
      </c>
      <c r="F18" s="3" t="s">
        <v>42</v>
      </c>
      <c r="G18" s="4">
        <v>12.39</v>
      </c>
      <c r="H18" s="1">
        <v>12.39</v>
      </c>
      <c r="J18" s="18" t="s">
        <v>52</v>
      </c>
      <c r="K18" s="19">
        <v>0.1</v>
      </c>
      <c r="L18" s="24">
        <v>0.1</v>
      </c>
    </row>
    <row r="19" spans="3:23">
      <c r="C19" s="3" t="s">
        <v>26</v>
      </c>
      <c r="D19" s="4">
        <v>2</v>
      </c>
      <c r="E19" s="24">
        <v>2</v>
      </c>
      <c r="F19" s="3" t="s">
        <v>43</v>
      </c>
      <c r="G19" s="4">
        <v>5.6</v>
      </c>
      <c r="H19" s="1">
        <v>5.6</v>
      </c>
      <c r="J19" s="20" t="s">
        <v>53</v>
      </c>
      <c r="K19" s="21">
        <v>0.7</v>
      </c>
      <c r="L19" s="24">
        <v>0.7</v>
      </c>
    </row>
    <row r="20" spans="3:23">
      <c r="C20" s="3" t="s">
        <v>27</v>
      </c>
      <c r="D20" s="4">
        <v>0.26800000000000002</v>
      </c>
      <c r="E20" s="24">
        <v>0.26800000000000002</v>
      </c>
      <c r="F20" s="5"/>
      <c r="G20" s="5"/>
      <c r="J20" s="3" t="s">
        <v>54</v>
      </c>
      <c r="K20" s="4">
        <v>0.3</v>
      </c>
      <c r="L20" s="24">
        <v>0.3</v>
      </c>
    </row>
    <row r="21" spans="3:23">
      <c r="C21" s="16" t="s">
        <v>28</v>
      </c>
      <c r="D21" s="17">
        <v>0.3</v>
      </c>
      <c r="E21" s="24">
        <v>0.3</v>
      </c>
      <c r="F21" s="1"/>
      <c r="J21" s="3" t="s">
        <v>55</v>
      </c>
      <c r="K21" s="4">
        <v>2.1</v>
      </c>
      <c r="L21" s="24">
        <v>2.1</v>
      </c>
    </row>
    <row r="22" spans="3:23">
      <c r="C22" s="20" t="s">
        <v>29</v>
      </c>
      <c r="D22" s="34">
        <v>1</v>
      </c>
      <c r="E22" s="24">
        <v>1</v>
      </c>
      <c r="F22" s="1"/>
      <c r="J22" s="3" t="s">
        <v>56</v>
      </c>
      <c r="K22" s="4">
        <v>0.54</v>
      </c>
      <c r="L22" s="24">
        <v>0.54</v>
      </c>
    </row>
    <row r="23" spans="3:23">
      <c r="C23" s="3" t="s">
        <v>30</v>
      </c>
      <c r="D23" s="4">
        <v>0.40500000000000003</v>
      </c>
      <c r="E23" s="24">
        <v>0.40500000000000003</v>
      </c>
      <c r="F23" s="1"/>
      <c r="J23" s="5"/>
      <c r="K23" s="5"/>
      <c r="L23" s="24"/>
    </row>
    <row r="24" spans="3:23">
      <c r="C24" s="3" t="s">
        <v>31</v>
      </c>
      <c r="D24" s="4">
        <v>0.82</v>
      </c>
      <c r="E24" s="24">
        <v>0.82</v>
      </c>
      <c r="F24" s="1"/>
    </row>
    <row r="25" spans="3:23">
      <c r="C25" s="3" t="s">
        <v>32</v>
      </c>
      <c r="D25" s="4">
        <v>0.82</v>
      </c>
      <c r="E25" s="24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31" t="s">
        <v>324</v>
      </c>
      <c r="O30" s="31">
        <v>2</v>
      </c>
      <c r="P30" s="31"/>
      <c r="Q30" s="31"/>
    </row>
    <row r="31" spans="3:23">
      <c r="C31" s="1"/>
      <c r="D31" s="1"/>
      <c r="E31" s="1"/>
      <c r="F31" s="1"/>
      <c r="N31" s="31"/>
      <c r="O31" s="31">
        <v>0</v>
      </c>
      <c r="P31" s="31">
        <v>1</v>
      </c>
      <c r="Q31" s="31">
        <v>2</v>
      </c>
      <c r="U31" s="31">
        <v>0</v>
      </c>
      <c r="V31" s="31">
        <v>1</v>
      </c>
      <c r="W31" s="31">
        <v>2</v>
      </c>
    </row>
    <row r="32" spans="3:23">
      <c r="C32" s="1"/>
      <c r="D32" s="1"/>
      <c r="E32" s="1"/>
      <c r="F32" s="1"/>
      <c r="N32" s="31" t="s">
        <v>33</v>
      </c>
      <c r="O32" s="31" t="str">
        <f>"risk_f_"&amp;O31</f>
        <v>risk_f_0</v>
      </c>
      <c r="P32" s="31" t="str">
        <f t="shared" ref="P32:Q32" si="0">"risk_f_"&amp;P31</f>
        <v>risk_f_1</v>
      </c>
      <c r="Q32" s="31" t="str">
        <f t="shared" si="0"/>
        <v>risk_f_2</v>
      </c>
      <c r="T32" s="31">
        <v>0</v>
      </c>
      <c r="U32" s="29">
        <f>EXP(-$U$29*ABS(U$31-$T32))</f>
        <v>1</v>
      </c>
      <c r="V32" s="29">
        <f t="shared" ref="V32:W34" si="1">EXP(-$U$29*ABS(V$31-$T32))</f>
        <v>0.74081822068171788</v>
      </c>
      <c r="W32" s="29">
        <f t="shared" si="1"/>
        <v>0.54881163609402639</v>
      </c>
    </row>
    <row r="33" spans="3:23">
      <c r="C33" s="1"/>
      <c r="D33" s="1"/>
      <c r="E33" s="1"/>
      <c r="F33" s="1"/>
      <c r="N33" s="31">
        <v>0</v>
      </c>
      <c r="O33" s="32">
        <f>EXP(-$D$21*(2*$O$30-O$31-$N33)-$D$22*ABS(O$31-$N33))</f>
        <v>0.30119421191220214</v>
      </c>
      <c r="P33" s="32">
        <f t="shared" ref="P33:Q35" si="2">EXP(-$D$21*(2*$O$30-P$31-$N33)-$D$22*ABS(P$31-$N33))</f>
        <v>0.14956861922263506</v>
      </c>
      <c r="Q33" s="32">
        <f t="shared" si="2"/>
        <v>7.4273578214333877E-2</v>
      </c>
      <c r="T33" s="31">
        <f>T32+1</f>
        <v>1</v>
      </c>
      <c r="U33" s="29">
        <f t="shared" ref="U33:U34" si="3">EXP(-$U$29*ABS(U$31-$T33))</f>
        <v>0.74081822068171788</v>
      </c>
      <c r="V33" s="29">
        <f t="shared" si="1"/>
        <v>1</v>
      </c>
      <c r="W33" s="29">
        <f t="shared" si="1"/>
        <v>0.74081822068171788</v>
      </c>
    </row>
    <row r="34" spans="3:23">
      <c r="C34" s="1"/>
      <c r="D34" s="1"/>
      <c r="E34" s="1"/>
      <c r="F34" s="1"/>
      <c r="N34" s="31">
        <f>N33+1</f>
        <v>1</v>
      </c>
      <c r="O34" s="32">
        <f t="shared" ref="O34:O35" si="4">EXP(-$D$21*(2*$O$30-O$31-$N34)-$D$22*ABS(O$31-$N34))</f>
        <v>0.14956861922263506</v>
      </c>
      <c r="P34" s="32">
        <f t="shared" si="2"/>
        <v>0.54881163609402639</v>
      </c>
      <c r="Q34" s="32">
        <f t="shared" si="2"/>
        <v>0.27253179303401259</v>
      </c>
      <c r="T34" s="31">
        <f t="shared" ref="T34" si="5">T33+1</f>
        <v>2</v>
      </c>
      <c r="U34" s="29">
        <f t="shared" si="3"/>
        <v>0.54881163609402639</v>
      </c>
      <c r="V34" s="29">
        <f t="shared" si="1"/>
        <v>0.74081822068171788</v>
      </c>
      <c r="W34" s="29">
        <f t="shared" si="1"/>
        <v>1</v>
      </c>
    </row>
    <row r="35" spans="3:23" s="1" customFormat="1">
      <c r="N35" s="31">
        <f t="shared" ref="N35" si="6">N34+1</f>
        <v>2</v>
      </c>
      <c r="O35" s="32">
        <f t="shared" si="4"/>
        <v>7.4273578214333877E-2</v>
      </c>
      <c r="P35" s="32">
        <f t="shared" si="2"/>
        <v>0.27253179303401259</v>
      </c>
      <c r="Q35" s="32">
        <f t="shared" si="2"/>
        <v>1</v>
      </c>
    </row>
    <row r="36" spans="3:23" s="1" customFormat="1">
      <c r="N36" s="31" t="s">
        <v>57</v>
      </c>
      <c r="O36" s="31" t="str">
        <f>"risk_f_"&amp;O31</f>
        <v>risk_f_0</v>
      </c>
      <c r="P36" s="31" t="str">
        <f t="shared" ref="P36:Q36" si="7">"risk_f_"&amp;P31</f>
        <v>risk_f_1</v>
      </c>
      <c r="Q36" s="31" t="str">
        <f t="shared" si="7"/>
        <v>risk_f_2</v>
      </c>
    </row>
    <row r="37" spans="3:23" s="1" customFormat="1">
      <c r="N37" s="31">
        <v>0</v>
      </c>
      <c r="O37" s="32">
        <f t="shared" ref="O37:Q39" si="8">EXP(($N37+O$31-2*$O$30)*$K$13)</f>
        <v>6.0810062625217973E-2</v>
      </c>
      <c r="P37" s="32">
        <f t="shared" si="8"/>
        <v>0.12245642825298195</v>
      </c>
      <c r="Q37" s="32">
        <f t="shared" si="8"/>
        <v>0.24659696394160649</v>
      </c>
    </row>
    <row r="38" spans="3:23" s="1" customFormat="1">
      <c r="N38" s="31">
        <f>N37+1</f>
        <v>1</v>
      </c>
      <c r="O38" s="32">
        <f t="shared" si="8"/>
        <v>0.12245642825298195</v>
      </c>
      <c r="P38" s="32">
        <f t="shared" si="8"/>
        <v>0.24659696394160649</v>
      </c>
      <c r="Q38" s="32">
        <f t="shared" si="8"/>
        <v>0.49658530379140953</v>
      </c>
    </row>
    <row r="39" spans="3:23" s="1" customFormat="1">
      <c r="N39" s="31">
        <f t="shared" ref="N39" si="9">N38+1</f>
        <v>2</v>
      </c>
      <c r="O39" s="32">
        <f t="shared" si="8"/>
        <v>0.24659696394160649</v>
      </c>
      <c r="P39" s="32">
        <f t="shared" si="8"/>
        <v>0.49658530379140953</v>
      </c>
      <c r="Q39" s="32">
        <f t="shared" si="8"/>
        <v>1</v>
      </c>
    </row>
    <row r="40" spans="3:23" s="1" customFormat="1"/>
    <row r="41" spans="3:23" s="1" customFormat="1"/>
    <row r="42" spans="3:23" s="1" customFormat="1">
      <c r="O42" s="32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32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325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FFFF00"/>
  </sheetPr>
  <dimension ref="A1:AH102"/>
  <sheetViews>
    <sheetView showGridLines="0" showRowColHeaders="0" showRuler="0" workbookViewId="0">
      <selection activeCell="F6" sqref="F6:G12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34</v>
      </c>
    </row>
    <row r="3" spans="1:9">
      <c r="F3" s="49">
        <v>42346.524710648147</v>
      </c>
    </row>
    <row r="5" spans="1:9" ht="18">
      <c r="B5" s="6" t="s">
        <v>95</v>
      </c>
      <c r="C5" s="5"/>
      <c r="F5" s="6" t="s">
        <v>103</v>
      </c>
      <c r="G5" s="5"/>
    </row>
    <row r="6" spans="1:9">
      <c r="B6" s="3" t="s">
        <v>70</v>
      </c>
      <c r="C6" s="47">
        <v>0.5</v>
      </c>
      <c r="D6" s="1">
        <v>0.2</v>
      </c>
      <c r="F6" s="3" t="s">
        <v>96</v>
      </c>
      <c r="G6" s="4">
        <v>5.0000000000000001E-3</v>
      </c>
    </row>
    <row r="7" spans="1:9">
      <c r="B7" s="3" t="s">
        <v>71</v>
      </c>
      <c r="C7" s="47">
        <v>0.4</v>
      </c>
      <c r="D7" s="1">
        <v>0.6</v>
      </c>
      <c r="F7" s="3" t="s">
        <v>97</v>
      </c>
      <c r="G7" s="4">
        <v>800</v>
      </c>
      <c r="H7" s="1">
        <v>200</v>
      </c>
    </row>
    <row r="8" spans="1:9">
      <c r="B8" s="3" t="s">
        <v>72</v>
      </c>
      <c r="C8" s="47">
        <v>0.1</v>
      </c>
      <c r="D8" s="1">
        <v>0.2</v>
      </c>
      <c r="F8" s="3" t="s">
        <v>98</v>
      </c>
      <c r="G8" s="46">
        <v>5.0000000000000001E-4</v>
      </c>
      <c r="H8" s="1">
        <v>0.02</v>
      </c>
    </row>
    <row r="9" spans="1:9">
      <c r="B9" s="16" t="s">
        <v>73</v>
      </c>
      <c r="C9" s="17">
        <v>0.35</v>
      </c>
      <c r="F9" s="3" t="s">
        <v>99</v>
      </c>
      <c r="G9" s="4">
        <v>15</v>
      </c>
    </row>
    <row r="10" spans="1:9">
      <c r="B10" s="18" t="s">
        <v>74</v>
      </c>
      <c r="C10" s="19">
        <v>0.6</v>
      </c>
      <c r="F10" s="3" t="s">
        <v>100</v>
      </c>
      <c r="G10" s="4">
        <v>45</v>
      </c>
    </row>
    <row r="11" spans="1:9">
      <c r="B11" s="18" t="s">
        <v>75</v>
      </c>
      <c r="C11" s="19">
        <v>0.35</v>
      </c>
      <c r="F11" s="3" t="s">
        <v>101</v>
      </c>
      <c r="G11" s="4">
        <v>0.05</v>
      </c>
      <c r="H11" s="1">
        <v>0.05</v>
      </c>
    </row>
    <row r="12" spans="1:9">
      <c r="B12" s="20" t="s">
        <v>76</v>
      </c>
      <c r="C12" s="21">
        <v>0.7</v>
      </c>
      <c r="F12" s="3" t="s">
        <v>102</v>
      </c>
      <c r="G12" s="4">
        <v>55</v>
      </c>
    </row>
    <row r="13" spans="1:9">
      <c r="B13" s="3" t="s">
        <v>77</v>
      </c>
      <c r="C13" s="4">
        <v>360</v>
      </c>
      <c r="F13" s="5"/>
      <c r="G13" s="5"/>
    </row>
    <row r="14" spans="1:9" ht="17" thickBot="1">
      <c r="B14" s="3" t="s">
        <v>78</v>
      </c>
      <c r="C14" s="4">
        <v>500</v>
      </c>
    </row>
    <row r="15" spans="1:9">
      <c r="B15" s="40" t="s">
        <v>79</v>
      </c>
      <c r="C15" s="41">
        <v>20</v>
      </c>
      <c r="D15" s="1">
        <v>19</v>
      </c>
      <c r="H15" s="38"/>
      <c r="I15" s="45" t="s">
        <v>323</v>
      </c>
    </row>
    <row r="16" spans="1:9">
      <c r="B16" s="18" t="s">
        <v>80</v>
      </c>
      <c r="C16" s="19">
        <v>30</v>
      </c>
      <c r="D16" s="1">
        <v>25</v>
      </c>
      <c r="H16" s="38">
        <v>0</v>
      </c>
      <c r="I16" s="39">
        <f>$C$25*EXP(-$C$26*(2-H16))</f>
        <v>5.6267587359629558E-8</v>
      </c>
    </row>
    <row r="17" spans="2:28">
      <c r="B17" s="20" t="s">
        <v>81</v>
      </c>
      <c r="C17" s="21">
        <v>5</v>
      </c>
      <c r="D17" s="1">
        <v>3</v>
      </c>
      <c r="H17" s="38">
        <v>1</v>
      </c>
      <c r="I17" s="39">
        <f t="shared" ref="I17:I18" si="0">$C$25*EXP(-$C$26*(2-H17))</f>
        <v>1.6773131395125593E-4</v>
      </c>
    </row>
    <row r="18" spans="2:28">
      <c r="B18" s="18" t="s">
        <v>82</v>
      </c>
      <c r="C18" s="19">
        <v>0.4</v>
      </c>
      <c r="H18" s="38">
        <v>2</v>
      </c>
      <c r="I18" s="39">
        <f t="shared" si="0"/>
        <v>0.5</v>
      </c>
    </row>
    <row r="19" spans="2:28">
      <c r="B19" s="16" t="s">
        <v>83</v>
      </c>
      <c r="C19" s="17">
        <v>0.8</v>
      </c>
    </row>
    <row r="20" spans="2:28">
      <c r="B20" s="20" t="s">
        <v>84</v>
      </c>
      <c r="C20" s="21">
        <v>0.8</v>
      </c>
      <c r="Y20" s="1" t="s">
        <v>330</v>
      </c>
      <c r="Z20" s="1" t="s">
        <v>331</v>
      </c>
      <c r="AA20" s="1" t="s">
        <v>330</v>
      </c>
      <c r="AB20" s="1" t="s">
        <v>331</v>
      </c>
    </row>
    <row r="21" spans="2:28" ht="17" thickBot="1">
      <c r="B21" s="42" t="s">
        <v>85</v>
      </c>
      <c r="C21" s="43">
        <v>2</v>
      </c>
      <c r="X21" s="1">
        <v>0</v>
      </c>
      <c r="Y21" s="44">
        <f t="shared" ref="Y21:Z23" si="1">1/AA21</f>
        <v>2.8571428571428572</v>
      </c>
      <c r="Z21" s="44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86</v>
      </c>
      <c r="C22" s="4">
        <v>2</v>
      </c>
      <c r="X22" s="1">
        <v>1</v>
      </c>
      <c r="Y22" s="44">
        <f t="shared" si="1"/>
        <v>5.2060537154014552</v>
      </c>
      <c r="Z22" s="44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87</v>
      </c>
      <c r="C23" s="4">
        <v>99999</v>
      </c>
      <c r="X23" s="1">
        <v>2</v>
      </c>
      <c r="Y23" s="44">
        <f t="shared" si="1"/>
        <v>9.4860483506758495</v>
      </c>
      <c r="Z23" s="44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88</v>
      </c>
      <c r="C24" s="4">
        <v>99999</v>
      </c>
    </row>
    <row r="25" spans="2:28">
      <c r="B25" s="16" t="s">
        <v>89</v>
      </c>
      <c r="C25" s="17">
        <v>0.5</v>
      </c>
      <c r="D25" s="30">
        <v>0.1</v>
      </c>
    </row>
    <row r="26" spans="2:28">
      <c r="B26" s="20" t="s">
        <v>90</v>
      </c>
      <c r="C26" s="33">
        <v>8</v>
      </c>
      <c r="D26" s="1">
        <v>6</v>
      </c>
    </row>
    <row r="27" spans="2:28">
      <c r="B27" s="3" t="s">
        <v>91</v>
      </c>
      <c r="C27" s="4">
        <v>0.1</v>
      </c>
    </row>
    <row r="28" spans="2:28">
      <c r="B28" s="3" t="s">
        <v>92</v>
      </c>
      <c r="C28" s="4">
        <v>0.2</v>
      </c>
    </row>
    <row r="29" spans="2:28">
      <c r="B29" s="3" t="s">
        <v>93</v>
      </c>
      <c r="C29" s="4">
        <v>0.7</v>
      </c>
    </row>
    <row r="30" spans="2:28">
      <c r="B30" s="3" t="s">
        <v>94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37" t="s">
        <v>327</v>
      </c>
      <c r="Y33" s="1" t="s">
        <v>328</v>
      </c>
      <c r="AD33" s="1" t="s">
        <v>326</v>
      </c>
      <c r="AH33" s="1" t="s">
        <v>329</v>
      </c>
    </row>
    <row r="34" spans="20:34">
      <c r="T34" s="1">
        <v>12</v>
      </c>
      <c r="U34" s="29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29">
        <f>2/(1+EXP(-$C$21*AG34))-1</f>
        <v>0</v>
      </c>
    </row>
    <row r="35" spans="20:34">
      <c r="T35" s="1">
        <f>T34+1</f>
        <v>13</v>
      </c>
      <c r="U35" s="29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29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29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29">
        <f t="shared" si="6"/>
        <v>0.9640275800758169</v>
      </c>
    </row>
    <row r="37" spans="20:34">
      <c r="T37" s="1">
        <f t="shared" si="7"/>
        <v>15</v>
      </c>
      <c r="U37" s="29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29">
        <f t="shared" si="6"/>
        <v>0.99505475368673069</v>
      </c>
    </row>
    <row r="38" spans="20:34">
      <c r="T38" s="1">
        <f t="shared" si="7"/>
        <v>16</v>
      </c>
      <c r="U38" s="29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29">
        <f t="shared" si="6"/>
        <v>0.99932929973906726</v>
      </c>
    </row>
    <row r="39" spans="20:34">
      <c r="T39" s="1">
        <f t="shared" si="7"/>
        <v>17</v>
      </c>
      <c r="U39" s="29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29">
        <f t="shared" si="6"/>
        <v>0.99990920426259522</v>
      </c>
    </row>
    <row r="40" spans="20:34">
      <c r="T40" s="1">
        <f t="shared" si="7"/>
        <v>18</v>
      </c>
      <c r="U40" s="29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29">
        <f t="shared" si="6"/>
        <v>0.99998771165079559</v>
      </c>
    </row>
    <row r="41" spans="20:34">
      <c r="T41" s="1">
        <f t="shared" si="7"/>
        <v>19</v>
      </c>
      <c r="U41" s="29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29">
        <f t="shared" si="6"/>
        <v>0.99999833694394447</v>
      </c>
    </row>
    <row r="42" spans="20:34">
      <c r="T42" s="1">
        <f t="shared" si="7"/>
        <v>20</v>
      </c>
      <c r="U42" s="29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29">
        <f t="shared" si="6"/>
        <v>0.99999977492967584</v>
      </c>
    </row>
    <row r="43" spans="20:34">
      <c r="T43" s="1">
        <f t="shared" si="7"/>
        <v>21</v>
      </c>
      <c r="U43" s="29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29">
        <f t="shared" si="6"/>
        <v>0.999999969540041</v>
      </c>
    </row>
    <row r="44" spans="20:34">
      <c r="T44" s="1">
        <f t="shared" si="7"/>
        <v>22</v>
      </c>
      <c r="U44" s="29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29">
        <f t="shared" si="6"/>
        <v>0.99999999587769262</v>
      </c>
    </row>
    <row r="45" spans="20:34">
      <c r="T45" s="1">
        <f t="shared" si="7"/>
        <v>23</v>
      </c>
      <c r="U45" s="29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29">
        <f t="shared" si="6"/>
        <v>0.99999999944210627</v>
      </c>
    </row>
    <row r="46" spans="20:34">
      <c r="T46" s="1">
        <f t="shared" si="7"/>
        <v>24</v>
      </c>
      <c r="U46" s="29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29">
        <f t="shared" si="6"/>
        <v>0.99999999992449728</v>
      </c>
    </row>
    <row r="47" spans="20:34">
      <c r="T47" s="1">
        <f t="shared" si="7"/>
        <v>25</v>
      </c>
      <c r="U47" s="29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29">
        <f t="shared" si="6"/>
        <v>0.99999999998978195</v>
      </c>
    </row>
    <row r="48" spans="20:34">
      <c r="T48" s="1">
        <f t="shared" si="7"/>
        <v>26</v>
      </c>
      <c r="U48" s="29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29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29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29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29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29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29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29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29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29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29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29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29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29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29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29">
        <f t="shared" si="2"/>
        <v>0.84529466198729941</v>
      </c>
    </row>
    <row r="64" spans="20:30">
      <c r="T64" s="1">
        <f t="shared" si="7"/>
        <v>42</v>
      </c>
      <c r="U64" s="29">
        <f t="shared" si="2"/>
        <v>0.80889705363488418</v>
      </c>
    </row>
    <row r="65" spans="20:21">
      <c r="T65" s="1">
        <f t="shared" si="7"/>
        <v>43</v>
      </c>
      <c r="U65" s="29">
        <f t="shared" si="2"/>
        <v>0.76730563007979435</v>
      </c>
    </row>
    <row r="66" spans="20:21">
      <c r="T66" s="1">
        <f t="shared" si="7"/>
        <v>44</v>
      </c>
      <c r="U66" s="29">
        <f t="shared" si="2"/>
        <v>0.72059357275812796</v>
      </c>
    </row>
    <row r="67" spans="20:21">
      <c r="T67" s="1">
        <f t="shared" si="7"/>
        <v>45</v>
      </c>
      <c r="U67" s="29">
        <f t="shared" si="2"/>
        <v>0.66906265266781872</v>
      </c>
    </row>
    <row r="68" spans="20:21">
      <c r="T68" s="1">
        <f t="shared" si="7"/>
        <v>46</v>
      </c>
      <c r="U68" s="29">
        <f t="shared" si="2"/>
        <v>0.6132727406148557</v>
      </c>
    </row>
    <row r="69" spans="20:21">
      <c r="T69" s="1">
        <f t="shared" si="7"/>
        <v>47</v>
      </c>
      <c r="U69" s="29">
        <f t="shared" si="2"/>
        <v>0.5540557309011096</v>
      </c>
    </row>
    <row r="70" spans="20:21">
      <c r="T70" s="1">
        <f t="shared" si="7"/>
        <v>48</v>
      </c>
      <c r="U70" s="29">
        <f t="shared" si="2"/>
        <v>0.49250749672567706</v>
      </c>
    </row>
    <row r="71" spans="20:21">
      <c r="T71" s="1">
        <f t="shared" si="7"/>
        <v>49</v>
      </c>
      <c r="U71" s="29">
        <f t="shared" si="2"/>
        <v>0.42995264435709701</v>
      </c>
    </row>
    <row r="72" spans="20:21">
      <c r="T72" s="1">
        <f t="shared" si="7"/>
        <v>50</v>
      </c>
      <c r="U72" s="29">
        <f t="shared" si="2"/>
        <v>0.36787944117144233</v>
      </c>
    </row>
    <row r="73" spans="20:21">
      <c r="T73" s="1">
        <f t="shared" si="7"/>
        <v>51</v>
      </c>
      <c r="U73" s="29">
        <f t="shared" si="2"/>
        <v>0.30784638755075239</v>
      </c>
    </row>
    <row r="74" spans="20:21">
      <c r="T74" s="1">
        <f t="shared" si="7"/>
        <v>52</v>
      </c>
      <c r="U74" s="29">
        <f t="shared" si="2"/>
        <v>0.25136710892065856</v>
      </c>
    </row>
    <row r="75" spans="20:21">
      <c r="T75" s="1">
        <f t="shared" si="7"/>
        <v>53</v>
      </c>
      <c r="U75" s="29">
        <f t="shared" si="2"/>
        <v>0.19978569738293162</v>
      </c>
    </row>
    <row r="76" spans="20:21">
      <c r="T76" s="1">
        <f t="shared" si="7"/>
        <v>54</v>
      </c>
      <c r="U76" s="29">
        <f t="shared" si="2"/>
        <v>0.15415903186230032</v>
      </c>
    </row>
    <row r="77" spans="20:21">
      <c r="T77" s="1">
        <f t="shared" si="7"/>
        <v>55</v>
      </c>
      <c r="U77" s="29">
        <f t="shared" si="2"/>
        <v>0.11516446602782729</v>
      </c>
    </row>
    <row r="78" spans="20:21">
      <c r="T78" s="1">
        <f t="shared" si="7"/>
        <v>56</v>
      </c>
      <c r="U78" s="29">
        <f t="shared" si="2"/>
        <v>8.3049372387112769E-2</v>
      </c>
    </row>
    <row r="79" spans="20:21">
      <c r="T79" s="1">
        <f t="shared" si="7"/>
        <v>57</v>
      </c>
      <c r="U79" s="29">
        <f t="shared" si="2"/>
        <v>5.7632952555076798E-2</v>
      </c>
    </row>
    <row r="80" spans="20:21">
      <c r="T80" s="1">
        <f t="shared" si="7"/>
        <v>58</v>
      </c>
      <c r="U80" s="29">
        <f t="shared" si="2"/>
        <v>3.8361286113799832E-2</v>
      </c>
    </row>
    <row r="81" spans="20:21">
      <c r="T81" s="1">
        <f t="shared" si="7"/>
        <v>59</v>
      </c>
      <c r="U81" s="29">
        <f t="shared" si="2"/>
        <v>2.4405909094469651E-2</v>
      </c>
    </row>
    <row r="82" spans="20:21">
      <c r="T82" s="1">
        <f t="shared" si="7"/>
        <v>60</v>
      </c>
      <c r="U82" s="29">
        <f t="shared" si="2"/>
        <v>1.4787223182517921E-2</v>
      </c>
    </row>
    <row r="83" spans="20:21">
      <c r="T83" s="1">
        <f t="shared" si="7"/>
        <v>61</v>
      </c>
      <c r="U83" s="29">
        <f t="shared" si="2"/>
        <v>8.499525869339471E-3</v>
      </c>
    </row>
    <row r="84" spans="20:21">
      <c r="T84" s="1">
        <f t="shared" si="7"/>
        <v>62</v>
      </c>
      <c r="U84" s="29">
        <f t="shared" si="2"/>
        <v>4.6159388373727978E-3</v>
      </c>
    </row>
    <row r="85" spans="20:21">
      <c r="T85" s="1">
        <f t="shared" si="7"/>
        <v>63</v>
      </c>
      <c r="U85" s="29">
        <f t="shared" si="2"/>
        <v>2.3584983269535802E-3</v>
      </c>
    </row>
    <row r="86" spans="20:21">
      <c r="T86" s="1">
        <f t="shared" si="7"/>
        <v>64</v>
      </c>
      <c r="U86" s="29">
        <f t="shared" si="2"/>
        <v>1.1287145222061334E-3</v>
      </c>
    </row>
    <row r="87" spans="20:21">
      <c r="T87" s="1">
        <f t="shared" si="7"/>
        <v>65</v>
      </c>
      <c r="U87" s="29">
        <f t="shared" si="2"/>
        <v>5.0358904973695255E-4</v>
      </c>
    </row>
    <row r="88" spans="20:21">
      <c r="T88" s="1">
        <f t="shared" si="7"/>
        <v>66</v>
      </c>
      <c r="U88" s="29">
        <f t="shared" si="2"/>
        <v>2.084434797635917E-4</v>
      </c>
    </row>
    <row r="89" spans="20:21">
      <c r="T89" s="1">
        <f t="shared" si="7"/>
        <v>67</v>
      </c>
      <c r="U89" s="29">
        <f t="shared" si="2"/>
        <v>7.963426191225911E-5</v>
      </c>
    </row>
    <row r="90" spans="20:21">
      <c r="T90" s="1">
        <f t="shared" si="7"/>
        <v>68</v>
      </c>
      <c r="U90" s="29">
        <f t="shared" si="2"/>
        <v>2.7931373575515185E-5</v>
      </c>
    </row>
    <row r="91" spans="20:21">
      <c r="T91" s="1">
        <f t="shared" si="7"/>
        <v>69</v>
      </c>
      <c r="U91" s="29">
        <f t="shared" si="2"/>
        <v>8.9442844052088149E-6</v>
      </c>
    </row>
    <row r="92" spans="20:21">
      <c r="T92" s="1">
        <f t="shared" si="7"/>
        <v>70</v>
      </c>
      <c r="U92" s="29">
        <f t="shared" si="2"/>
        <v>2.5997837108630648E-6</v>
      </c>
    </row>
    <row r="93" spans="20:21">
      <c r="T93" s="1">
        <f t="shared" si="7"/>
        <v>71</v>
      </c>
      <c r="U93" s="29">
        <f t="shared" si="2"/>
        <v>6.8177237214379498E-7</v>
      </c>
    </row>
    <row r="94" spans="20:21">
      <c r="T94" s="1">
        <f t="shared" si="7"/>
        <v>72</v>
      </c>
      <c r="U94" s="29">
        <f t="shared" si="2"/>
        <v>1.6029395943683165E-7</v>
      </c>
    </row>
    <row r="95" spans="20:21">
      <c r="T95" s="1">
        <f t="shared" si="7"/>
        <v>73</v>
      </c>
      <c r="U95" s="29">
        <f t="shared" si="2"/>
        <v>3.3568051519322338E-8</v>
      </c>
    </row>
    <row r="96" spans="20:21">
      <c r="T96" s="1">
        <f t="shared" si="7"/>
        <v>74</v>
      </c>
      <c r="U96" s="29">
        <f t="shared" si="2"/>
        <v>6.218855191180474E-9</v>
      </c>
    </row>
    <row r="97" spans="20:21">
      <c r="T97" s="1">
        <f t="shared" si="7"/>
        <v>75</v>
      </c>
      <c r="U97" s="29">
        <f t="shared" si="2"/>
        <v>1.0120466682596007E-9</v>
      </c>
    </row>
    <row r="98" spans="20:21">
      <c r="T98" s="1">
        <f t="shared" si="7"/>
        <v>76</v>
      </c>
      <c r="U98" s="29">
        <f t="shared" si="2"/>
        <v>1.4361872158607134E-10</v>
      </c>
    </row>
    <row r="99" spans="20:21">
      <c r="T99" s="1">
        <f t="shared" si="7"/>
        <v>77</v>
      </c>
      <c r="U99" s="29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29">
        <f t="shared" si="9"/>
        <v>1.8597731753764295E-12</v>
      </c>
    </row>
    <row r="101" spans="20:21">
      <c r="T101" s="1">
        <f t="shared" si="10"/>
        <v>79</v>
      </c>
      <c r="U101" s="29">
        <f t="shared" si="9"/>
        <v>1.6700493278966639E-13</v>
      </c>
    </row>
    <row r="102" spans="20:21">
      <c r="T102" s="1">
        <f t="shared" si="10"/>
        <v>80</v>
      </c>
      <c r="U102" s="29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FFFF00"/>
  </sheetPr>
  <dimension ref="A1:U57"/>
  <sheetViews>
    <sheetView showGridLines="0" tabSelected="1" showRuler="0" zoomScale="85" zoomScaleNormal="85" zoomScalePageLayoutView="85" workbookViewId="0">
      <pane ySplit="3" topLeftCell="A4" activePane="bottomLeft" state="frozen"/>
      <selection activeCell="C59" sqref="C59"/>
      <selection pane="bottomLeft" activeCell="J53" sqref="J53:K57"/>
    </sheetView>
  </sheetViews>
  <sheetFormatPr baseColWidth="10" defaultRowHeight="16" x14ac:dyDescent="0"/>
  <cols>
    <col min="1" max="1" width="3.42578125" style="1" customWidth="1"/>
    <col min="2" max="2" width="29.5703125" style="1" customWidth="1"/>
    <col min="3" max="3" width="2.42578125" style="1" customWidth="1"/>
    <col min="4" max="5" width="2.5703125" style="1" customWidth="1"/>
    <col min="6" max="6" width="33.42578125" style="1" customWidth="1"/>
    <col min="7" max="7" width="6.7109375" style="1" hidden="1" customWidth="1"/>
    <col min="8" max="9" width="2.7109375" style="1" customWidth="1"/>
    <col min="10" max="10" width="18.5703125" style="1" customWidth="1"/>
    <col min="11" max="11" width="23" style="1" bestFit="1" customWidth="1"/>
    <col min="12" max="12" width="15" style="28" customWidth="1"/>
    <col min="13" max="13" width="10.7109375" style="1"/>
    <col min="14" max="14" width="21.42578125" style="1" customWidth="1"/>
    <col min="15" max="20" width="10.7109375" style="1"/>
    <col min="21" max="21" width="23" style="1" bestFit="1" customWidth="1"/>
    <col min="22" max="16384" width="10.7109375" style="1"/>
  </cols>
  <sheetData>
    <row r="1" spans="1:21" s="2" customFormat="1" ht="86" customHeight="1">
      <c r="A1" s="7" t="s">
        <v>298</v>
      </c>
      <c r="L1" s="25"/>
    </row>
    <row r="2" spans="1:21" s="5" customFormat="1" ht="7" customHeight="1">
      <c r="L2" s="26"/>
    </row>
    <row r="3" spans="1:21" s="14" customFormat="1" ht="7" customHeight="1">
      <c r="L3" s="27"/>
    </row>
    <row r="5" spans="1:21">
      <c r="L5" s="49">
        <v>42348.523472222223</v>
      </c>
    </row>
    <row r="8" spans="1:21" s="11" customFormat="1" ht="18">
      <c r="B8" s="12" t="s">
        <v>343</v>
      </c>
      <c r="C8" s="13"/>
      <c r="D8" s="13"/>
      <c r="E8" s="13"/>
      <c r="F8" s="12" t="s">
        <v>290</v>
      </c>
      <c r="G8" s="13"/>
      <c r="H8" s="13"/>
      <c r="I8" s="13"/>
      <c r="J8" s="12" t="s">
        <v>291</v>
      </c>
      <c r="K8" s="12"/>
    </row>
    <row r="9" spans="1:21">
      <c r="U9" s="26" t="s">
        <v>294</v>
      </c>
    </row>
    <row r="10" spans="1:21">
      <c r="B10" s="8" t="s">
        <v>292</v>
      </c>
      <c r="F10" s="8" t="s">
        <v>344</v>
      </c>
      <c r="J10" s="8" t="s">
        <v>302</v>
      </c>
      <c r="K10" s="8"/>
      <c r="U10" s="26" t="s">
        <v>304</v>
      </c>
    </row>
    <row r="11" spans="1:21">
      <c r="A11" s="28">
        <v>1</v>
      </c>
      <c r="B11" s="9" t="s">
        <v>344</v>
      </c>
      <c r="C11" s="15" t="b">
        <f>IF(B11="",FALSE,ISNA(VLOOKUP(B11,F:F,1,0)))</f>
        <v>0</v>
      </c>
      <c r="F11" s="22" t="s">
        <v>302</v>
      </c>
      <c r="G11" s="15" t="b">
        <f>IF(F11="",FALSE,ISNA(VLOOKUP(F11,J:M,1,0)))</f>
        <v>0</v>
      </c>
      <c r="J11" s="22" t="s">
        <v>299</v>
      </c>
      <c r="K11" s="23" t="s">
        <v>255</v>
      </c>
      <c r="U11" s="26" t="s">
        <v>300</v>
      </c>
    </row>
    <row r="12" spans="1:21">
      <c r="A12" s="28">
        <f>IF(B12="","",A11+1)</f>
        <v>2</v>
      </c>
      <c r="B12" s="9" t="s">
        <v>345</v>
      </c>
      <c r="C12" s="15" t="b">
        <f>IF(B12="",FALSE,ISNA(VLOOKUP(B12,F:F,1,0)))</f>
        <v>0</v>
      </c>
      <c r="F12" s="22" t="s">
        <v>303</v>
      </c>
      <c r="G12" s="15" t="b">
        <f t="shared" ref="G12:G14" si="0">IF(F12="",FALSE,ISNA(VLOOKUP(F12,J:M,1,0)))</f>
        <v>0</v>
      </c>
      <c r="J12" s="22" t="s">
        <v>293</v>
      </c>
      <c r="K12" s="23" t="s">
        <v>294</v>
      </c>
      <c r="U12" s="26" t="s">
        <v>305</v>
      </c>
    </row>
    <row r="13" spans="1:21">
      <c r="A13" s="28">
        <f t="shared" ref="A13:A18" si="1">IF(B13="","",A12+1)</f>
        <v>3</v>
      </c>
      <c r="B13" s="9" t="s">
        <v>346</v>
      </c>
      <c r="C13" s="15" t="b">
        <f t="shared" ref="C13:C17" si="2">IF(B13="",FALSE,ISNA(VLOOKUP(B13,F:F,1,0)))</f>
        <v>0</v>
      </c>
      <c r="F13" s="22"/>
      <c r="G13" s="15" t="b">
        <f t="shared" si="0"/>
        <v>0</v>
      </c>
      <c r="J13" s="22" t="s">
        <v>295</v>
      </c>
      <c r="K13" s="23">
        <v>15</v>
      </c>
      <c r="U13" s="26" t="s">
        <v>306</v>
      </c>
    </row>
    <row r="14" spans="1:21">
      <c r="A14" s="28">
        <f t="shared" si="1"/>
        <v>4</v>
      </c>
      <c r="B14" s="9" t="s">
        <v>350</v>
      </c>
      <c r="C14" s="15" t="b">
        <f t="shared" si="2"/>
        <v>0</v>
      </c>
      <c r="F14" s="22"/>
      <c r="G14" s="15" t="b">
        <f t="shared" si="0"/>
        <v>0</v>
      </c>
      <c r="J14" s="22" t="s">
        <v>296</v>
      </c>
      <c r="K14" s="23">
        <v>999</v>
      </c>
      <c r="U14" s="26" t="s">
        <v>307</v>
      </c>
    </row>
    <row r="15" spans="1:21">
      <c r="A15" s="28">
        <f t="shared" si="1"/>
        <v>5</v>
      </c>
      <c r="B15" s="9" t="s">
        <v>356</v>
      </c>
      <c r="C15" s="15" t="b">
        <f t="shared" si="2"/>
        <v>0</v>
      </c>
      <c r="G15" s="15"/>
      <c r="J15" s="22" t="s">
        <v>297</v>
      </c>
      <c r="K15" s="51">
        <v>0.3</v>
      </c>
    </row>
    <row r="16" spans="1:21">
      <c r="A16" s="28" t="str">
        <f t="shared" si="1"/>
        <v/>
      </c>
      <c r="B16" s="9"/>
      <c r="C16" s="15" t="b">
        <f t="shared" si="2"/>
        <v>0</v>
      </c>
      <c r="G16" s="15"/>
    </row>
    <row r="17" spans="1:11">
      <c r="A17" s="28" t="str">
        <f t="shared" si="1"/>
        <v/>
      </c>
      <c r="B17" s="9"/>
      <c r="C17" s="15" t="b">
        <f t="shared" si="2"/>
        <v>0</v>
      </c>
      <c r="F17" s="8" t="s">
        <v>347</v>
      </c>
      <c r="G17" s="15"/>
      <c r="J17" s="8" t="s">
        <v>303</v>
      </c>
      <c r="K17" s="8"/>
    </row>
    <row r="18" spans="1:11">
      <c r="A18" s="28" t="str">
        <f t="shared" si="1"/>
        <v/>
      </c>
      <c r="B18" s="9"/>
      <c r="C18" s="15" t="b">
        <f t="shared" ref="C18" si="3">IF(B19="",FALSE,ISNA(VLOOKUP(B19,F:F,1,0)))</f>
        <v>0</v>
      </c>
      <c r="F18" s="9" t="s">
        <v>302</v>
      </c>
      <c r="G18" s="15" t="b">
        <f>IF(F18="",FALSE,ISNA(VLOOKUP(F18,J:M,1,0)))</f>
        <v>0</v>
      </c>
      <c r="J18" s="22" t="s">
        <v>299</v>
      </c>
      <c r="K18" s="23" t="s">
        <v>262</v>
      </c>
    </row>
    <row r="19" spans="1:11">
      <c r="F19" s="9" t="s">
        <v>303</v>
      </c>
      <c r="G19" s="15" t="b">
        <f t="shared" ref="G19:G21" si="4">IF(F19="",FALSE,ISNA(VLOOKUP(F19,J:M,1,0)))</f>
        <v>0</v>
      </c>
      <c r="J19" s="22" t="s">
        <v>293</v>
      </c>
      <c r="K19" s="23" t="s">
        <v>304</v>
      </c>
    </row>
    <row r="20" spans="1:11">
      <c r="F20" s="9" t="s">
        <v>308</v>
      </c>
      <c r="G20" s="15" t="b">
        <f t="shared" si="4"/>
        <v>0</v>
      </c>
      <c r="J20" s="22" t="s">
        <v>295</v>
      </c>
      <c r="K20" s="23">
        <v>15</v>
      </c>
    </row>
    <row r="21" spans="1:11">
      <c r="F21" s="9"/>
      <c r="G21" s="15" t="b">
        <f t="shared" si="4"/>
        <v>0</v>
      </c>
      <c r="J21" s="22" t="s">
        <v>296</v>
      </c>
      <c r="K21" s="23">
        <v>999</v>
      </c>
    </row>
    <row r="22" spans="1:11">
      <c r="G22" s="15"/>
      <c r="J22" s="22" t="s">
        <v>297</v>
      </c>
      <c r="K22" s="50">
        <v>0.4</v>
      </c>
    </row>
    <row r="23" spans="1:11">
      <c r="F23" s="8" t="s">
        <v>346</v>
      </c>
      <c r="G23" s="15"/>
    </row>
    <row r="24" spans="1:11">
      <c r="F24" s="9" t="s">
        <v>302</v>
      </c>
      <c r="G24" s="15" t="b">
        <f>IF(F24="",FALSE,ISNA(VLOOKUP(F24,J:M,1,0)))</f>
        <v>0</v>
      </c>
      <c r="J24" s="8" t="s">
        <v>308</v>
      </c>
      <c r="K24" s="8"/>
    </row>
    <row r="25" spans="1:11">
      <c r="F25" s="9" t="s">
        <v>303</v>
      </c>
      <c r="G25" s="15" t="b">
        <f t="shared" ref="G25:G27" si="5">IF(F25="",FALSE,ISNA(VLOOKUP(F25,J:M,1,0)))</f>
        <v>0</v>
      </c>
      <c r="J25" s="9" t="s">
        <v>299</v>
      </c>
      <c r="K25" s="10" t="s">
        <v>262</v>
      </c>
    </row>
    <row r="26" spans="1:11">
      <c r="F26" s="9" t="s">
        <v>309</v>
      </c>
      <c r="G26" s="15" t="b">
        <f t="shared" si="5"/>
        <v>0</v>
      </c>
      <c r="J26" s="9" t="s">
        <v>293</v>
      </c>
      <c r="K26" s="10" t="s">
        <v>304</v>
      </c>
    </row>
    <row r="27" spans="1:11">
      <c r="F27" s="9"/>
      <c r="G27" s="15" t="b">
        <f t="shared" si="5"/>
        <v>0</v>
      </c>
      <c r="J27" s="9" t="s">
        <v>295</v>
      </c>
      <c r="K27" s="10">
        <v>30</v>
      </c>
    </row>
    <row r="28" spans="1:11">
      <c r="G28" s="15"/>
      <c r="J28" s="9" t="s">
        <v>296</v>
      </c>
      <c r="K28" s="10">
        <v>50</v>
      </c>
    </row>
    <row r="29" spans="1:11">
      <c r="F29" s="8" t="s">
        <v>345</v>
      </c>
      <c r="J29" s="9" t="s">
        <v>297</v>
      </c>
      <c r="K29" s="10">
        <v>0.8</v>
      </c>
    </row>
    <row r="30" spans="1:11">
      <c r="F30" s="9" t="s">
        <v>302</v>
      </c>
      <c r="G30" s="15" t="b">
        <f>IF(F30="",FALSE,ISNA(VLOOKUP(F30,J:M,1,0)))</f>
        <v>0</v>
      </c>
    </row>
    <row r="31" spans="1:11">
      <c r="F31" s="9" t="s">
        <v>303</v>
      </c>
      <c r="G31" s="15" t="b">
        <f t="shared" ref="G31:G33" si="6">IF(F31="",FALSE,ISNA(VLOOKUP(F31,J:M,1,0)))</f>
        <v>0</v>
      </c>
      <c r="J31" s="8" t="s">
        <v>309</v>
      </c>
      <c r="K31" s="8"/>
    </row>
    <row r="32" spans="1:11">
      <c r="F32" s="9" t="s">
        <v>348</v>
      </c>
      <c r="G32" s="15" t="b">
        <f t="shared" si="6"/>
        <v>0</v>
      </c>
      <c r="J32" s="9" t="s">
        <v>299</v>
      </c>
      <c r="K32" s="10" t="s">
        <v>262</v>
      </c>
    </row>
    <row r="33" spans="6:11">
      <c r="F33" s="9"/>
      <c r="G33" s="15" t="b">
        <f t="shared" si="6"/>
        <v>0</v>
      </c>
      <c r="J33" s="9" t="s">
        <v>293</v>
      </c>
      <c r="K33" s="10" t="s">
        <v>300</v>
      </c>
    </row>
    <row r="34" spans="6:11">
      <c r="G34" s="15"/>
      <c r="J34" s="9" t="s">
        <v>295</v>
      </c>
      <c r="K34" s="10">
        <v>30</v>
      </c>
    </row>
    <row r="35" spans="6:11">
      <c r="F35" s="8" t="s">
        <v>356</v>
      </c>
      <c r="J35" s="9" t="s">
        <v>296</v>
      </c>
      <c r="K35" s="10">
        <v>50</v>
      </c>
    </row>
    <row r="36" spans="6:11">
      <c r="F36" s="9" t="s">
        <v>302</v>
      </c>
      <c r="G36" s="15" t="b">
        <f>IF(F36="",FALSE,ISNA(VLOOKUP(F36,J:M,1,0)))</f>
        <v>0</v>
      </c>
      <c r="J36" s="9" t="s">
        <v>297</v>
      </c>
      <c r="K36" s="10">
        <v>0.1</v>
      </c>
    </row>
    <row r="37" spans="6:11">
      <c r="F37" s="9" t="s">
        <v>303</v>
      </c>
      <c r="G37" s="15" t="b">
        <f t="shared" ref="G37:G39" si="7">IF(F37="",FALSE,ISNA(VLOOKUP(F37,J:M,1,0)))</f>
        <v>0</v>
      </c>
    </row>
    <row r="38" spans="6:11">
      <c r="F38" s="9" t="s">
        <v>355</v>
      </c>
      <c r="G38" s="15" t="b">
        <f t="shared" si="7"/>
        <v>0</v>
      </c>
      <c r="J38" s="8" t="s">
        <v>348</v>
      </c>
      <c r="K38" s="8"/>
    </row>
    <row r="39" spans="6:11">
      <c r="F39" s="9"/>
      <c r="G39" s="15" t="b">
        <f t="shared" si="7"/>
        <v>0</v>
      </c>
      <c r="J39" s="9" t="s">
        <v>299</v>
      </c>
      <c r="K39" s="10" t="s">
        <v>262</v>
      </c>
    </row>
    <row r="40" spans="6:11">
      <c r="G40" s="15"/>
      <c r="J40" s="9" t="s">
        <v>293</v>
      </c>
      <c r="K40" s="10" t="s">
        <v>294</v>
      </c>
    </row>
    <row r="41" spans="6:11">
      <c r="F41" s="8" t="s">
        <v>350</v>
      </c>
      <c r="J41" s="9" t="s">
        <v>295</v>
      </c>
      <c r="K41" s="10">
        <v>30</v>
      </c>
    </row>
    <row r="42" spans="6:11">
      <c r="F42" s="9" t="s">
        <v>302</v>
      </c>
      <c r="G42" s="15" t="b">
        <f>IF(F42="",FALSE,ISNA(VLOOKUP(F42,J:M,1,0)))</f>
        <v>0</v>
      </c>
      <c r="J42" s="9" t="s">
        <v>296</v>
      </c>
      <c r="K42" s="10">
        <v>50</v>
      </c>
    </row>
    <row r="43" spans="6:11">
      <c r="F43" s="9" t="s">
        <v>303</v>
      </c>
      <c r="G43" s="15" t="b">
        <f t="shared" ref="G43:G45" si="8">IF(F43="",FALSE,ISNA(VLOOKUP(F43,J:M,1,0)))</f>
        <v>0</v>
      </c>
      <c r="J43" s="9" t="s">
        <v>297</v>
      </c>
      <c r="K43" s="10">
        <v>0.3</v>
      </c>
    </row>
    <row r="44" spans="6:11">
      <c r="F44" s="9" t="s">
        <v>349</v>
      </c>
      <c r="G44" s="15" t="b">
        <f t="shared" si="8"/>
        <v>0</v>
      </c>
    </row>
    <row r="45" spans="6:11">
      <c r="F45" s="9"/>
      <c r="G45" s="15" t="b">
        <f t="shared" si="8"/>
        <v>0</v>
      </c>
      <c r="J45" s="8" t="s">
        <v>355</v>
      </c>
      <c r="K45" s="8"/>
    </row>
    <row r="46" spans="6:11">
      <c r="G46" s="15"/>
      <c r="J46" s="9" t="s">
        <v>299</v>
      </c>
      <c r="K46" s="10" t="s">
        <v>262</v>
      </c>
    </row>
    <row r="47" spans="6:11">
      <c r="J47" s="9" t="s">
        <v>293</v>
      </c>
      <c r="K47" s="10" t="s">
        <v>354</v>
      </c>
    </row>
    <row r="48" spans="6:11">
      <c r="J48" s="9" t="s">
        <v>295</v>
      </c>
      <c r="K48" s="10">
        <v>20</v>
      </c>
    </row>
    <row r="49" spans="10:11">
      <c r="J49" s="9" t="s">
        <v>296</v>
      </c>
      <c r="K49" s="10">
        <v>30</v>
      </c>
    </row>
    <row r="50" spans="10:11">
      <c r="J50" s="9" t="s">
        <v>297</v>
      </c>
      <c r="K50" s="10">
        <v>0.6</v>
      </c>
    </row>
    <row r="52" spans="10:11">
      <c r="J52" s="8" t="s">
        <v>349</v>
      </c>
      <c r="K52" s="8"/>
    </row>
    <row r="53" spans="10:11">
      <c r="J53" s="9" t="s">
        <v>299</v>
      </c>
      <c r="K53" s="10" t="s">
        <v>262</v>
      </c>
    </row>
    <row r="54" spans="10:11">
      <c r="J54" s="9" t="s">
        <v>293</v>
      </c>
      <c r="K54" s="10" t="s">
        <v>307</v>
      </c>
    </row>
    <row r="55" spans="10:11">
      <c r="J55" s="9" t="s">
        <v>295</v>
      </c>
      <c r="K55" s="10">
        <v>30</v>
      </c>
    </row>
    <row r="56" spans="10:11">
      <c r="J56" s="9" t="s">
        <v>296</v>
      </c>
      <c r="K56" s="10">
        <v>50</v>
      </c>
    </row>
    <row r="57" spans="10:11">
      <c r="J57" s="9" t="s">
        <v>297</v>
      </c>
      <c r="K57" s="10">
        <v>0.8</v>
      </c>
    </row>
  </sheetData>
  <conditionalFormatting sqref="F11">
    <cfRule type="expression" dxfId="24" priority="32">
      <formula>$G11</formula>
    </cfRule>
  </conditionalFormatting>
  <conditionalFormatting sqref="F13:F14">
    <cfRule type="expression" dxfId="23" priority="31">
      <formula>$G13</formula>
    </cfRule>
  </conditionalFormatting>
  <conditionalFormatting sqref="F21">
    <cfRule type="expression" dxfId="22" priority="30">
      <formula>$G21</formula>
    </cfRule>
  </conditionalFormatting>
  <conditionalFormatting sqref="F26:F27">
    <cfRule type="expression" dxfId="21" priority="29">
      <formula>$G27</formula>
    </cfRule>
  </conditionalFormatting>
  <conditionalFormatting sqref="B11:B16">
    <cfRule type="expression" dxfId="20" priority="28">
      <formula>$C11</formula>
    </cfRule>
  </conditionalFormatting>
  <conditionalFormatting sqref="F12">
    <cfRule type="expression" dxfId="19" priority="26">
      <formula>$G12</formula>
    </cfRule>
  </conditionalFormatting>
  <conditionalFormatting sqref="F18">
    <cfRule type="expression" dxfId="18" priority="23">
      <formula>$G18</formula>
    </cfRule>
  </conditionalFormatting>
  <conditionalFormatting sqref="F19">
    <cfRule type="expression" dxfId="17" priority="22">
      <formula>$G19</formula>
    </cfRule>
  </conditionalFormatting>
  <conditionalFormatting sqref="F20">
    <cfRule type="expression" dxfId="16" priority="21">
      <formula>$G20</formula>
    </cfRule>
  </conditionalFormatting>
  <conditionalFormatting sqref="F24">
    <cfRule type="expression" dxfId="15" priority="20">
      <formula>$G25</formula>
    </cfRule>
  </conditionalFormatting>
  <conditionalFormatting sqref="F25">
    <cfRule type="expression" dxfId="14" priority="19">
      <formula>$G26</formula>
    </cfRule>
  </conditionalFormatting>
  <conditionalFormatting sqref="B12">
    <cfRule type="expression" dxfId="13" priority="18">
      <formula>$C12</formula>
    </cfRule>
  </conditionalFormatting>
  <conditionalFormatting sqref="B15:B18">
    <cfRule type="expression" dxfId="12" priority="16">
      <formula>$C14</formula>
    </cfRule>
  </conditionalFormatting>
  <conditionalFormatting sqref="B13">
    <cfRule type="expression" dxfId="11" priority="15">
      <formula>$C12</formula>
    </cfRule>
  </conditionalFormatting>
  <conditionalFormatting sqref="F36">
    <cfRule type="expression" dxfId="10" priority="10">
      <formula>$G37</formula>
    </cfRule>
  </conditionalFormatting>
  <conditionalFormatting sqref="F37">
    <cfRule type="expression" dxfId="9" priority="9">
      <formula>$G38</formula>
    </cfRule>
  </conditionalFormatting>
  <conditionalFormatting sqref="F44:F45">
    <cfRule type="expression" dxfId="8" priority="8">
      <formula>$G45</formula>
    </cfRule>
  </conditionalFormatting>
  <conditionalFormatting sqref="F38:F39">
    <cfRule type="expression" dxfId="7" priority="11">
      <formula>$G39</formula>
    </cfRule>
  </conditionalFormatting>
  <conditionalFormatting sqref="F42">
    <cfRule type="expression" dxfId="6" priority="7">
      <formula>$G43</formula>
    </cfRule>
  </conditionalFormatting>
  <conditionalFormatting sqref="F43">
    <cfRule type="expression" dxfId="5" priority="6">
      <formula>$G44</formula>
    </cfRule>
  </conditionalFormatting>
  <conditionalFormatting sqref="B14">
    <cfRule type="expression" dxfId="4" priority="5">
      <formula>$C13</formula>
    </cfRule>
  </conditionalFormatting>
  <conditionalFormatting sqref="F33">
    <cfRule type="expression" dxfId="3" priority="4">
      <formula>$G33</formula>
    </cfRule>
  </conditionalFormatting>
  <conditionalFormatting sqref="F30">
    <cfRule type="expression" dxfId="2" priority="3">
      <formula>$G30</formula>
    </cfRule>
  </conditionalFormatting>
  <conditionalFormatting sqref="F31">
    <cfRule type="expression" dxfId="1" priority="2">
      <formula>$G31</formula>
    </cfRule>
  </conditionalFormatting>
  <conditionalFormatting sqref="F32">
    <cfRule type="expression" dxfId="0" priority="1">
      <formula>$G32</formula>
    </cfRule>
  </conditionalFormatting>
  <dataValidations count="1">
    <dataValidation type="list" allowBlank="1" showInputMessage="1" showErrorMessage="1" sqref="K12 K19 K26 K33 K47 K40 K54">
      <formula1>$U$9:$U$14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STIfeatures</vt:lpstr>
      <vt:lpstr>partnerships</vt:lpstr>
      <vt:lpstr>sex-activity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2015-12-10T17:41:10Z</dcterms:modified>
</cp:coreProperties>
</file>